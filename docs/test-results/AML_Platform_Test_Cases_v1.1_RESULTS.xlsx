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Legend" sheetId="3" state="visible" r:id="rId3"/>
  </sheets>
  <definedNames>
    <definedName name="_xlnm._FilterDatabase" localSheetId="1" hidden="1">'Test Cases'!$A$1:$Q$319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>
        <color rgb="FFBFC8D6"/>
      </left>
      <right style="thin">
        <color rgb="FFBFC8D6"/>
      </right>
      <top style="thin">
        <color rgb="FFBFC8D6"/>
      </top>
      <bottom style="thin">
        <color rgb="FFBFC8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9" fontId="8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9" fontId="8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8D6"/>
      <rgbColor rgb="FF808080"/>
      <rgbColor rgb="FF9999FF"/>
      <rgbColor rgb="FF993366"/>
      <rgbColor rgb="FFFFF8D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0" customWidth="1" style="14" min="2" max="2"/>
    <col width="8" customWidth="1" style="14" min="3" max="3"/>
    <col width="7" customWidth="1" style="14" min="4" max="8"/>
    <col width="9" customWidth="1" style="14" min="9" max="9"/>
    <col width="7" customWidth="1" style="14" min="10" max="10"/>
    <col width="9" customWidth="1" style="14" min="11" max="11"/>
    <col width="11" customWidth="1" style="14" min="12" max="12"/>
    <col width="9" customWidth="1" style="14" min="13" max="13"/>
  </cols>
  <sheetData>
    <row r="1" ht="17.35" customHeight="1" s="15">
      <c r="A1" s="16" t="inlineStr">
        <is>
          <t>AML Platform v1.1 — Test Execution Summary</t>
        </is>
      </c>
    </row>
    <row r="2" ht="15" customHeight="1" s="15">
      <c r="A2" s="17" t="inlineStr">
        <is>
          <t>All figures are formulas over the 'Test Cases' sheet and update as Status is filled in.</t>
        </is>
      </c>
    </row>
    <row r="4" ht="15" customHeight="1" s="15">
      <c r="A4" s="18" t="inlineStr">
        <is>
          <t>Module</t>
        </is>
      </c>
      <c r="B4" s="18" t="inlineStr">
        <is>
          <t>Spec Ref</t>
        </is>
      </c>
      <c r="C4" s="18" t="inlineStr">
        <is>
          <t>Total</t>
        </is>
      </c>
      <c r="D4" s="18" t="inlineStr">
        <is>
          <t>P1</t>
        </is>
      </c>
      <c r="E4" s="18" t="inlineStr">
        <is>
          <t>P2</t>
        </is>
      </c>
      <c r="F4" s="18" t="inlineStr">
        <is>
          <t>P3</t>
        </is>
      </c>
      <c r="G4" s="18" t="inlineStr">
        <is>
          <t>Pass</t>
        </is>
      </c>
      <c r="H4" s="18" t="inlineStr">
        <is>
          <t>Fail</t>
        </is>
      </c>
      <c r="I4" s="18" t="inlineStr">
        <is>
          <t>Blocked</t>
        </is>
      </c>
      <c r="J4" s="18" t="inlineStr">
        <is>
          <t>N/A</t>
        </is>
      </c>
      <c r="K4" s="18" t="inlineStr">
        <is>
          <t>Not Run</t>
        </is>
      </c>
      <c r="L4" s="18" t="inlineStr">
        <is>
          <t>Executed %</t>
        </is>
      </c>
      <c r="M4" s="18" t="inlineStr">
        <is>
          <t>Pass %</t>
        </is>
      </c>
    </row>
    <row r="5" ht="15" customHeight="1" s="15">
      <c r="A5" s="19" t="inlineStr">
        <is>
          <t>Dynamic Customer Fields</t>
        </is>
      </c>
      <c r="B5" s="19" t="inlineStr">
        <is>
          <t>§4</t>
        </is>
      </c>
      <c r="C5" s="20">
        <f>COUNTIF('Test Cases'!$B$2:$B$319,$A5)</f>
        <v/>
      </c>
      <c r="D5" s="20">
        <f>COUNTIFS('Test Cases'!$B$2:$B$319,$A5,'Test Cases'!$I$2:$I$319,"P1")</f>
        <v/>
      </c>
      <c r="E5" s="20">
        <f>COUNTIFS('Test Cases'!$B$2:$B$319,$A5,'Test Cases'!$I$2:$I$319,"P2")</f>
        <v/>
      </c>
      <c r="F5" s="20">
        <f>COUNTIFS('Test Cases'!$B$2:$B$319,$A5,'Test Cases'!$I$2:$I$319,"P3")</f>
        <v/>
      </c>
      <c r="G5" s="20">
        <f>COUNTIFS('Test Cases'!$B$2:$B$319,$A5,'Test Cases'!$L$2:$L$319,"Pass")</f>
        <v/>
      </c>
      <c r="H5" s="20">
        <f>COUNTIFS('Test Cases'!$B$2:$B$319,$A5,'Test Cases'!$L$2:$L$319,"Fail")</f>
        <v/>
      </c>
      <c r="I5" s="20">
        <f>COUNTIFS('Test Cases'!$B$2:$B$319,$A5,'Test Cases'!$L$2:$L$319,"Blocked")</f>
        <v/>
      </c>
      <c r="J5" s="20">
        <f>COUNTIFS('Test Cases'!$B$2:$B$319,$A5,'Test Cases'!$L$2:$L$319,"N/A")</f>
        <v/>
      </c>
      <c r="K5" s="20">
        <f>COUNTIFS('Test Cases'!$B$2:$B$319,$A5,'Test Cases'!$L$2:$L$319,"Not Run")</f>
        <v/>
      </c>
      <c r="L5" s="21">
        <f>IF(C5=0,0,(C5-K5)/C5)</f>
        <v/>
      </c>
      <c r="M5" s="21">
        <f>IF((C5-K5-J5)=0,0,G5/(C5-K5-J5))</f>
        <v/>
      </c>
    </row>
    <row r="6" ht="15" customHeight="1" s="15">
      <c r="A6" s="19" t="inlineStr">
        <is>
          <t>Customer Profile &amp; Search</t>
        </is>
      </c>
      <c r="B6" s="19" t="inlineStr">
        <is>
          <t>§6–7</t>
        </is>
      </c>
      <c r="C6" s="20">
        <f>COUNTIF('Test Cases'!$B$2:$B$319,$A6)</f>
        <v/>
      </c>
      <c r="D6" s="20">
        <f>COUNTIFS('Test Cases'!$B$2:$B$319,$A6,'Test Cases'!$I$2:$I$319,"P1")</f>
        <v/>
      </c>
      <c r="E6" s="20">
        <f>COUNTIFS('Test Cases'!$B$2:$B$319,$A6,'Test Cases'!$I$2:$I$319,"P2")</f>
        <v/>
      </c>
      <c r="F6" s="20">
        <f>COUNTIFS('Test Cases'!$B$2:$B$319,$A6,'Test Cases'!$I$2:$I$319,"P3")</f>
        <v/>
      </c>
      <c r="G6" s="20">
        <f>COUNTIFS('Test Cases'!$B$2:$B$319,$A6,'Test Cases'!$L$2:$L$319,"Pass")</f>
        <v/>
      </c>
      <c r="H6" s="20">
        <f>COUNTIFS('Test Cases'!$B$2:$B$319,$A6,'Test Cases'!$L$2:$L$319,"Fail")</f>
        <v/>
      </c>
      <c r="I6" s="20">
        <f>COUNTIFS('Test Cases'!$B$2:$B$319,$A6,'Test Cases'!$L$2:$L$319,"Blocked")</f>
        <v/>
      </c>
      <c r="J6" s="20">
        <f>COUNTIFS('Test Cases'!$B$2:$B$319,$A6,'Test Cases'!$L$2:$L$319,"N/A")</f>
        <v/>
      </c>
      <c r="K6" s="20">
        <f>COUNTIFS('Test Cases'!$B$2:$B$319,$A6,'Test Cases'!$L$2:$L$319,"Not Run")</f>
        <v/>
      </c>
      <c r="L6" s="21">
        <f>IF(C6=0,0,(C6-K6)/C6)</f>
        <v/>
      </c>
      <c r="M6" s="21">
        <f>IF((C6-K6-J6)=0,0,G6/(C6-K6-J6))</f>
        <v/>
      </c>
    </row>
    <row r="7" ht="15" customHeight="1" s="15">
      <c r="A7" s="19" t="inlineStr">
        <is>
          <t>Customer Acceptance, CDD &amp; Beneficial Ownership</t>
        </is>
      </c>
      <c r="B7" s="19" t="inlineStr">
        <is>
          <t>§18</t>
        </is>
      </c>
      <c r="C7" s="20">
        <f>COUNTIF('Test Cases'!$B$2:$B$319,$A7)</f>
        <v/>
      </c>
      <c r="D7" s="20">
        <f>COUNTIFS('Test Cases'!$B$2:$B$319,$A7,'Test Cases'!$I$2:$I$319,"P1")</f>
        <v/>
      </c>
      <c r="E7" s="20">
        <f>COUNTIFS('Test Cases'!$B$2:$B$319,$A7,'Test Cases'!$I$2:$I$319,"P2")</f>
        <v/>
      </c>
      <c r="F7" s="20">
        <f>COUNTIFS('Test Cases'!$B$2:$B$319,$A7,'Test Cases'!$I$2:$I$319,"P3")</f>
        <v/>
      </c>
      <c r="G7" s="20">
        <f>COUNTIFS('Test Cases'!$B$2:$B$319,$A7,'Test Cases'!$L$2:$L$319,"Pass")</f>
        <v/>
      </c>
      <c r="H7" s="20">
        <f>COUNTIFS('Test Cases'!$B$2:$B$319,$A7,'Test Cases'!$L$2:$L$319,"Fail")</f>
        <v/>
      </c>
      <c r="I7" s="20">
        <f>COUNTIFS('Test Cases'!$B$2:$B$319,$A7,'Test Cases'!$L$2:$L$319,"Blocked")</f>
        <v/>
      </c>
      <c r="J7" s="20">
        <f>COUNTIFS('Test Cases'!$B$2:$B$319,$A7,'Test Cases'!$L$2:$L$319,"N/A")</f>
        <v/>
      </c>
      <c r="K7" s="20">
        <f>COUNTIFS('Test Cases'!$B$2:$B$319,$A7,'Test Cases'!$L$2:$L$319,"Not Run")</f>
        <v/>
      </c>
      <c r="L7" s="21">
        <f>IF(C7=0,0,(C7-K7)/C7)</f>
        <v/>
      </c>
      <c r="M7" s="21">
        <f>IF((C7-K7-J7)=0,0,G7/(C7-K7-J7))</f>
        <v/>
      </c>
    </row>
    <row r="8" ht="15" customHeight="1" s="15">
      <c r="A8" s="19" t="inlineStr">
        <is>
          <t>Risk Methodology Configuration</t>
        </is>
      </c>
      <c r="B8" s="19" t="inlineStr">
        <is>
          <t>§5</t>
        </is>
      </c>
      <c r="C8" s="20">
        <f>COUNTIF('Test Cases'!$B$2:$B$319,$A8)</f>
        <v/>
      </c>
      <c r="D8" s="20">
        <f>COUNTIFS('Test Cases'!$B$2:$B$319,$A8,'Test Cases'!$I$2:$I$319,"P1")</f>
        <v/>
      </c>
      <c r="E8" s="20">
        <f>COUNTIFS('Test Cases'!$B$2:$B$319,$A8,'Test Cases'!$I$2:$I$319,"P2")</f>
        <v/>
      </c>
      <c r="F8" s="20">
        <f>COUNTIFS('Test Cases'!$B$2:$B$319,$A8,'Test Cases'!$I$2:$I$319,"P3")</f>
        <v/>
      </c>
      <c r="G8" s="20">
        <f>COUNTIFS('Test Cases'!$B$2:$B$319,$A8,'Test Cases'!$L$2:$L$319,"Pass")</f>
        <v/>
      </c>
      <c r="H8" s="20">
        <f>COUNTIFS('Test Cases'!$B$2:$B$319,$A8,'Test Cases'!$L$2:$L$319,"Fail")</f>
        <v/>
      </c>
      <c r="I8" s="20">
        <f>COUNTIFS('Test Cases'!$B$2:$B$319,$A8,'Test Cases'!$L$2:$L$319,"Blocked")</f>
        <v/>
      </c>
      <c r="J8" s="20">
        <f>COUNTIFS('Test Cases'!$B$2:$B$319,$A8,'Test Cases'!$L$2:$L$319,"N/A")</f>
        <v/>
      </c>
      <c r="K8" s="20">
        <f>COUNTIFS('Test Cases'!$B$2:$B$319,$A8,'Test Cases'!$L$2:$L$319,"Not Run")</f>
        <v/>
      </c>
      <c r="L8" s="21">
        <f>IF(C8=0,0,(C8-K8)/C8)</f>
        <v/>
      </c>
      <c r="M8" s="21">
        <f>IF((C8-K8-J8)=0,0,G8/(C8-K8-J8))</f>
        <v/>
      </c>
    </row>
    <row r="9" ht="15" customHeight="1" s="15">
      <c r="A9" s="19" t="inlineStr">
        <is>
          <t>Risk Engine Calculation</t>
        </is>
      </c>
      <c r="B9" s="19" t="inlineStr">
        <is>
          <t>§5, §27</t>
        </is>
      </c>
      <c r="C9" s="20">
        <f>COUNTIF('Test Cases'!$B$2:$B$319,$A9)</f>
        <v/>
      </c>
      <c r="D9" s="20">
        <f>COUNTIFS('Test Cases'!$B$2:$B$319,$A9,'Test Cases'!$I$2:$I$319,"P1")</f>
        <v/>
      </c>
      <c r="E9" s="20">
        <f>COUNTIFS('Test Cases'!$B$2:$B$319,$A9,'Test Cases'!$I$2:$I$319,"P2")</f>
        <v/>
      </c>
      <c r="F9" s="20">
        <f>COUNTIFS('Test Cases'!$B$2:$B$319,$A9,'Test Cases'!$I$2:$I$319,"P3")</f>
        <v/>
      </c>
      <c r="G9" s="20">
        <f>COUNTIFS('Test Cases'!$B$2:$B$319,$A9,'Test Cases'!$L$2:$L$319,"Pass")</f>
        <v/>
      </c>
      <c r="H9" s="20">
        <f>COUNTIFS('Test Cases'!$B$2:$B$319,$A9,'Test Cases'!$L$2:$L$319,"Fail")</f>
        <v/>
      </c>
      <c r="I9" s="20">
        <f>COUNTIFS('Test Cases'!$B$2:$B$319,$A9,'Test Cases'!$L$2:$L$319,"Blocked")</f>
        <v/>
      </c>
      <c r="J9" s="20">
        <f>COUNTIFS('Test Cases'!$B$2:$B$319,$A9,'Test Cases'!$L$2:$L$319,"N/A")</f>
        <v/>
      </c>
      <c r="K9" s="20">
        <f>COUNTIFS('Test Cases'!$B$2:$B$319,$A9,'Test Cases'!$L$2:$L$319,"Not Run")</f>
        <v/>
      </c>
      <c r="L9" s="21">
        <f>IF(C9=0,0,(C9-K9)/C9)</f>
        <v/>
      </c>
      <c r="M9" s="21">
        <f>IF((C9-K9-J9)=0,0,G9/(C9-K9-J9))</f>
        <v/>
      </c>
    </row>
    <row r="10" ht="15" customHeight="1" s="15">
      <c r="A10" s="19" t="inlineStr">
        <is>
          <t>Risk Override &amp; Review</t>
        </is>
      </c>
      <c r="B10" s="19" t="inlineStr">
        <is>
          <t>§5</t>
        </is>
      </c>
      <c r="C10" s="20">
        <f>COUNTIF('Test Cases'!$B$2:$B$319,$A10)</f>
        <v/>
      </c>
      <c r="D10" s="20">
        <f>COUNTIFS('Test Cases'!$B$2:$B$319,$A10,'Test Cases'!$I$2:$I$319,"P1")</f>
        <v/>
      </c>
      <c r="E10" s="20">
        <f>COUNTIFS('Test Cases'!$B$2:$B$319,$A10,'Test Cases'!$I$2:$I$319,"P2")</f>
        <v/>
      </c>
      <c r="F10" s="20">
        <f>COUNTIFS('Test Cases'!$B$2:$B$319,$A10,'Test Cases'!$I$2:$I$319,"P3")</f>
        <v/>
      </c>
      <c r="G10" s="20">
        <f>COUNTIFS('Test Cases'!$B$2:$B$319,$A10,'Test Cases'!$L$2:$L$319,"Pass")</f>
        <v/>
      </c>
      <c r="H10" s="20">
        <f>COUNTIFS('Test Cases'!$B$2:$B$319,$A10,'Test Cases'!$L$2:$L$319,"Fail")</f>
        <v/>
      </c>
      <c r="I10" s="20">
        <f>COUNTIFS('Test Cases'!$B$2:$B$319,$A10,'Test Cases'!$L$2:$L$319,"Blocked")</f>
        <v/>
      </c>
      <c r="J10" s="20">
        <f>COUNTIFS('Test Cases'!$B$2:$B$319,$A10,'Test Cases'!$L$2:$L$319,"N/A")</f>
        <v/>
      </c>
      <c r="K10" s="20">
        <f>COUNTIFS('Test Cases'!$B$2:$B$319,$A10,'Test Cases'!$L$2:$L$319,"Not Run")</f>
        <v/>
      </c>
      <c r="L10" s="21">
        <f>IF(C10=0,0,(C10-K10)/C10)</f>
        <v/>
      </c>
      <c r="M10" s="21">
        <f>IF((C10-K10-J10)=0,0,G10/(C10-K10-J10))</f>
        <v/>
      </c>
    </row>
    <row r="11" ht="15" customHeight="1" s="15">
      <c r="A11" s="19" t="inlineStr">
        <is>
          <t>Wallets &amp; Party Resolution</t>
        </is>
      </c>
      <c r="B11" s="19" t="inlineStr">
        <is>
          <t>§7</t>
        </is>
      </c>
      <c r="C11" s="20">
        <f>COUNTIF('Test Cases'!$B$2:$B$319,$A11)</f>
        <v/>
      </c>
      <c r="D11" s="20">
        <f>COUNTIFS('Test Cases'!$B$2:$B$319,$A11,'Test Cases'!$I$2:$I$319,"P1")</f>
        <v/>
      </c>
      <c r="E11" s="20">
        <f>COUNTIFS('Test Cases'!$B$2:$B$319,$A11,'Test Cases'!$I$2:$I$319,"P2")</f>
        <v/>
      </c>
      <c r="F11" s="20">
        <f>COUNTIFS('Test Cases'!$B$2:$B$319,$A11,'Test Cases'!$I$2:$I$319,"P3")</f>
        <v/>
      </c>
      <c r="G11" s="20">
        <f>COUNTIFS('Test Cases'!$B$2:$B$319,$A11,'Test Cases'!$L$2:$L$319,"Pass")</f>
        <v/>
      </c>
      <c r="H11" s="20">
        <f>COUNTIFS('Test Cases'!$B$2:$B$319,$A11,'Test Cases'!$L$2:$L$319,"Fail")</f>
        <v/>
      </c>
      <c r="I11" s="20">
        <f>COUNTIFS('Test Cases'!$B$2:$B$319,$A11,'Test Cases'!$L$2:$L$319,"Blocked")</f>
        <v/>
      </c>
      <c r="J11" s="20">
        <f>COUNTIFS('Test Cases'!$B$2:$B$319,$A11,'Test Cases'!$L$2:$L$319,"N/A")</f>
        <v/>
      </c>
      <c r="K11" s="20">
        <f>COUNTIFS('Test Cases'!$B$2:$B$319,$A11,'Test Cases'!$L$2:$L$319,"Not Run")</f>
        <v/>
      </c>
      <c r="L11" s="21">
        <f>IF(C11=0,0,(C11-K11)/C11)</f>
        <v/>
      </c>
      <c r="M11" s="21">
        <f>IF((C11-K11-J11)=0,0,G11/(C11-K11-J11))</f>
        <v/>
      </c>
    </row>
    <row r="12" ht="15" customHeight="1" s="15">
      <c r="A12" s="19" t="inlineStr">
        <is>
          <t>Transaction Ingestion &amp; Idempotency</t>
        </is>
      </c>
      <c r="B12" s="19" t="inlineStr">
        <is>
          <t>§16</t>
        </is>
      </c>
      <c r="C12" s="20">
        <f>COUNTIF('Test Cases'!$B$2:$B$319,$A12)</f>
        <v/>
      </c>
      <c r="D12" s="20">
        <f>COUNTIFS('Test Cases'!$B$2:$B$319,$A12,'Test Cases'!$I$2:$I$319,"P1")</f>
        <v/>
      </c>
      <c r="E12" s="20">
        <f>COUNTIFS('Test Cases'!$B$2:$B$319,$A12,'Test Cases'!$I$2:$I$319,"P2")</f>
        <v/>
      </c>
      <c r="F12" s="20">
        <f>COUNTIFS('Test Cases'!$B$2:$B$319,$A12,'Test Cases'!$I$2:$I$319,"P3")</f>
        <v/>
      </c>
      <c r="G12" s="20">
        <f>COUNTIFS('Test Cases'!$B$2:$B$319,$A12,'Test Cases'!$L$2:$L$319,"Pass")</f>
        <v/>
      </c>
      <c r="H12" s="20">
        <f>COUNTIFS('Test Cases'!$B$2:$B$319,$A12,'Test Cases'!$L$2:$L$319,"Fail")</f>
        <v/>
      </c>
      <c r="I12" s="20">
        <f>COUNTIFS('Test Cases'!$B$2:$B$319,$A12,'Test Cases'!$L$2:$L$319,"Blocked")</f>
        <v/>
      </c>
      <c r="J12" s="20">
        <f>COUNTIFS('Test Cases'!$B$2:$B$319,$A12,'Test Cases'!$L$2:$L$319,"N/A")</f>
        <v/>
      </c>
      <c r="K12" s="20">
        <f>COUNTIFS('Test Cases'!$B$2:$B$319,$A12,'Test Cases'!$L$2:$L$319,"Not Run")</f>
        <v/>
      </c>
      <c r="L12" s="21">
        <f>IF(C12=0,0,(C12-K12)/C12)</f>
        <v/>
      </c>
      <c r="M12" s="21">
        <f>IF((C12-K12-J12)=0,0,G12/(C12-K12-J12))</f>
        <v/>
      </c>
    </row>
    <row r="13" ht="15" customHeight="1" s="15">
      <c r="A13" s="19" t="inlineStr">
        <is>
          <t>Currency, Time Zone &amp; Calendar</t>
        </is>
      </c>
      <c r="B13" s="19" t="inlineStr">
        <is>
          <t>§24</t>
        </is>
      </c>
      <c r="C13" s="20">
        <f>COUNTIF('Test Cases'!$B$2:$B$319,$A13)</f>
        <v/>
      </c>
      <c r="D13" s="20">
        <f>COUNTIFS('Test Cases'!$B$2:$B$319,$A13,'Test Cases'!$I$2:$I$319,"P1")</f>
        <v/>
      </c>
      <c r="E13" s="20">
        <f>COUNTIFS('Test Cases'!$B$2:$B$319,$A13,'Test Cases'!$I$2:$I$319,"P2")</f>
        <v/>
      </c>
      <c r="F13" s="20">
        <f>COUNTIFS('Test Cases'!$B$2:$B$319,$A13,'Test Cases'!$I$2:$I$319,"P3")</f>
        <v/>
      </c>
      <c r="G13" s="20">
        <f>COUNTIFS('Test Cases'!$B$2:$B$319,$A13,'Test Cases'!$L$2:$L$319,"Pass")</f>
        <v/>
      </c>
      <c r="H13" s="20">
        <f>COUNTIFS('Test Cases'!$B$2:$B$319,$A13,'Test Cases'!$L$2:$L$319,"Fail")</f>
        <v/>
      </c>
      <c r="I13" s="20">
        <f>COUNTIFS('Test Cases'!$B$2:$B$319,$A13,'Test Cases'!$L$2:$L$319,"Blocked")</f>
        <v/>
      </c>
      <c r="J13" s="20">
        <f>COUNTIFS('Test Cases'!$B$2:$B$319,$A13,'Test Cases'!$L$2:$L$319,"N/A")</f>
        <v/>
      </c>
      <c r="K13" s="20">
        <f>COUNTIFS('Test Cases'!$B$2:$B$319,$A13,'Test Cases'!$L$2:$L$319,"Not Run")</f>
        <v/>
      </c>
      <c r="L13" s="21">
        <f>IF(C13=0,0,(C13-K13)/C13)</f>
        <v/>
      </c>
      <c r="M13" s="21">
        <f>IF((C13-K13-J13)=0,0,G13/(C13-K13-J13))</f>
        <v/>
      </c>
    </row>
    <row r="14" ht="15" customHeight="1" s="15">
      <c r="A14" s="19" t="inlineStr">
        <is>
          <t>Rule Builder &amp; Execution</t>
        </is>
      </c>
      <c r="B14" s="19" t="inlineStr">
        <is>
          <t>§8</t>
        </is>
      </c>
      <c r="C14" s="20">
        <f>COUNTIF('Test Cases'!$B$2:$B$319,$A14)</f>
        <v/>
      </c>
      <c r="D14" s="20">
        <f>COUNTIFS('Test Cases'!$B$2:$B$319,$A14,'Test Cases'!$I$2:$I$319,"P1")</f>
        <v/>
      </c>
      <c r="E14" s="20">
        <f>COUNTIFS('Test Cases'!$B$2:$B$319,$A14,'Test Cases'!$I$2:$I$319,"P2")</f>
        <v/>
      </c>
      <c r="F14" s="20">
        <f>COUNTIFS('Test Cases'!$B$2:$B$319,$A14,'Test Cases'!$I$2:$I$319,"P3")</f>
        <v/>
      </c>
      <c r="G14" s="20">
        <f>COUNTIFS('Test Cases'!$B$2:$B$319,$A14,'Test Cases'!$L$2:$L$319,"Pass")</f>
        <v/>
      </c>
      <c r="H14" s="20">
        <f>COUNTIFS('Test Cases'!$B$2:$B$319,$A14,'Test Cases'!$L$2:$L$319,"Fail")</f>
        <v/>
      </c>
      <c r="I14" s="20">
        <f>COUNTIFS('Test Cases'!$B$2:$B$319,$A14,'Test Cases'!$L$2:$L$319,"Blocked")</f>
        <v/>
      </c>
      <c r="J14" s="20">
        <f>COUNTIFS('Test Cases'!$B$2:$B$319,$A14,'Test Cases'!$L$2:$L$319,"N/A")</f>
        <v/>
      </c>
      <c r="K14" s="20">
        <f>COUNTIFS('Test Cases'!$B$2:$B$319,$A14,'Test Cases'!$L$2:$L$319,"Not Run")</f>
        <v/>
      </c>
      <c r="L14" s="21">
        <f>IF(C14=0,0,(C14-K14)/C14)</f>
        <v/>
      </c>
      <c r="M14" s="21">
        <f>IF((C14-K14-J14)=0,0,G14/(C14-K14-J14))</f>
        <v/>
      </c>
    </row>
    <row r="15" ht="15" customHeight="1" s="15">
      <c r="A15" s="19" t="inlineStr">
        <is>
          <t>Alert Deduplication &amp; Lifecycle</t>
        </is>
      </c>
      <c r="B15" s="19" t="inlineStr">
        <is>
          <t>§10</t>
        </is>
      </c>
      <c r="C15" s="20">
        <f>COUNTIF('Test Cases'!$B$2:$B$319,$A15)</f>
        <v/>
      </c>
      <c r="D15" s="20">
        <f>COUNTIFS('Test Cases'!$B$2:$B$319,$A15,'Test Cases'!$I$2:$I$319,"P1")</f>
        <v/>
      </c>
      <c r="E15" s="20">
        <f>COUNTIFS('Test Cases'!$B$2:$B$319,$A15,'Test Cases'!$I$2:$I$319,"P2")</f>
        <v/>
      </c>
      <c r="F15" s="20">
        <f>COUNTIFS('Test Cases'!$B$2:$B$319,$A15,'Test Cases'!$I$2:$I$319,"P3")</f>
        <v/>
      </c>
      <c r="G15" s="20">
        <f>COUNTIFS('Test Cases'!$B$2:$B$319,$A15,'Test Cases'!$L$2:$L$319,"Pass")</f>
        <v/>
      </c>
      <c r="H15" s="20">
        <f>COUNTIFS('Test Cases'!$B$2:$B$319,$A15,'Test Cases'!$L$2:$L$319,"Fail")</f>
        <v/>
      </c>
      <c r="I15" s="20">
        <f>COUNTIFS('Test Cases'!$B$2:$B$319,$A15,'Test Cases'!$L$2:$L$319,"Blocked")</f>
        <v/>
      </c>
      <c r="J15" s="20">
        <f>COUNTIFS('Test Cases'!$B$2:$B$319,$A15,'Test Cases'!$L$2:$L$319,"N/A")</f>
        <v/>
      </c>
      <c r="K15" s="20">
        <f>COUNTIFS('Test Cases'!$B$2:$B$319,$A15,'Test Cases'!$L$2:$L$319,"Not Run")</f>
        <v/>
      </c>
      <c r="L15" s="21">
        <f>IF(C15=0,0,(C15-K15)/C15)</f>
        <v/>
      </c>
      <c r="M15" s="21">
        <f>IF((C15-K15-J15)=0,0,G15/(C15-K15-J15))</f>
        <v/>
      </c>
    </row>
    <row r="16" ht="15" customHeight="1" s="15">
      <c r="A16" s="19" t="inlineStr">
        <is>
          <t>Case Management</t>
        </is>
      </c>
      <c r="B16" s="19" t="inlineStr">
        <is>
          <t>§10</t>
        </is>
      </c>
      <c r="C16" s="20">
        <f>COUNTIF('Test Cases'!$B$2:$B$319,$A16)</f>
        <v/>
      </c>
      <c r="D16" s="20">
        <f>COUNTIFS('Test Cases'!$B$2:$B$319,$A16,'Test Cases'!$I$2:$I$319,"P1")</f>
        <v/>
      </c>
      <c r="E16" s="20">
        <f>COUNTIFS('Test Cases'!$B$2:$B$319,$A16,'Test Cases'!$I$2:$I$319,"P2")</f>
        <v/>
      </c>
      <c r="F16" s="20">
        <f>COUNTIFS('Test Cases'!$B$2:$B$319,$A16,'Test Cases'!$I$2:$I$319,"P3")</f>
        <v/>
      </c>
      <c r="G16" s="20">
        <f>COUNTIFS('Test Cases'!$B$2:$B$319,$A16,'Test Cases'!$L$2:$L$319,"Pass")</f>
        <v/>
      </c>
      <c r="H16" s="20">
        <f>COUNTIFS('Test Cases'!$B$2:$B$319,$A16,'Test Cases'!$L$2:$L$319,"Fail")</f>
        <v/>
      </c>
      <c r="I16" s="20">
        <f>COUNTIFS('Test Cases'!$B$2:$B$319,$A16,'Test Cases'!$L$2:$L$319,"Blocked")</f>
        <v/>
      </c>
      <c r="J16" s="20">
        <f>COUNTIFS('Test Cases'!$B$2:$B$319,$A16,'Test Cases'!$L$2:$L$319,"N/A")</f>
        <v/>
      </c>
      <c r="K16" s="20">
        <f>COUNTIFS('Test Cases'!$B$2:$B$319,$A16,'Test Cases'!$L$2:$L$319,"Not Run")</f>
        <v/>
      </c>
      <c r="L16" s="21">
        <f>IF(C16=0,0,(C16-K16)/C16)</f>
        <v/>
      </c>
      <c r="M16" s="21">
        <f>IF((C16-K16-J16)=0,0,G16/(C16-K16-J16))</f>
        <v/>
      </c>
    </row>
    <row r="17" ht="15" customHeight="1" s="15">
      <c r="A17" s="19" t="inlineStr">
        <is>
          <t>Screening &amp; List Management</t>
        </is>
      </c>
      <c r="B17" s="19" t="inlineStr">
        <is>
          <t>§9, §21</t>
        </is>
      </c>
      <c r="C17" s="20">
        <f>COUNTIF('Test Cases'!$B$2:$B$319,$A17)</f>
        <v/>
      </c>
      <c r="D17" s="20">
        <f>COUNTIFS('Test Cases'!$B$2:$B$319,$A17,'Test Cases'!$I$2:$I$319,"P1")</f>
        <v/>
      </c>
      <c r="E17" s="20">
        <f>COUNTIFS('Test Cases'!$B$2:$B$319,$A17,'Test Cases'!$I$2:$I$319,"P2")</f>
        <v/>
      </c>
      <c r="F17" s="20">
        <f>COUNTIFS('Test Cases'!$B$2:$B$319,$A17,'Test Cases'!$I$2:$I$319,"P3")</f>
        <v/>
      </c>
      <c r="G17" s="20">
        <f>COUNTIFS('Test Cases'!$B$2:$B$319,$A17,'Test Cases'!$L$2:$L$319,"Pass")</f>
        <v/>
      </c>
      <c r="H17" s="20">
        <f>COUNTIFS('Test Cases'!$B$2:$B$319,$A17,'Test Cases'!$L$2:$L$319,"Fail")</f>
        <v/>
      </c>
      <c r="I17" s="20">
        <f>COUNTIFS('Test Cases'!$B$2:$B$319,$A17,'Test Cases'!$L$2:$L$319,"Blocked")</f>
        <v/>
      </c>
      <c r="J17" s="20">
        <f>COUNTIFS('Test Cases'!$B$2:$B$319,$A17,'Test Cases'!$L$2:$L$319,"N/A")</f>
        <v/>
      </c>
      <c r="K17" s="20">
        <f>COUNTIFS('Test Cases'!$B$2:$B$319,$A17,'Test Cases'!$L$2:$L$319,"Not Run")</f>
        <v/>
      </c>
      <c r="L17" s="21">
        <f>IF(C17=0,0,(C17-K17)/C17)</f>
        <v/>
      </c>
      <c r="M17" s="21">
        <f>IF((C17-K17-J17)=0,0,G17/(C17-K17-J17))</f>
        <v/>
      </c>
    </row>
    <row r="18" ht="15" customHeight="1" s="15">
      <c r="A18" s="19" t="inlineStr">
        <is>
          <t>Compliance Actions &amp; Freezing</t>
        </is>
      </c>
      <c r="B18" s="19" t="inlineStr">
        <is>
          <t>§21</t>
        </is>
      </c>
      <c r="C18" s="20">
        <f>COUNTIF('Test Cases'!$B$2:$B$319,$A18)</f>
        <v/>
      </c>
      <c r="D18" s="20">
        <f>COUNTIFS('Test Cases'!$B$2:$B$319,$A18,'Test Cases'!$I$2:$I$319,"P1")</f>
        <v/>
      </c>
      <c r="E18" s="20">
        <f>COUNTIFS('Test Cases'!$B$2:$B$319,$A18,'Test Cases'!$I$2:$I$319,"P2")</f>
        <v/>
      </c>
      <c r="F18" s="20">
        <f>COUNTIFS('Test Cases'!$B$2:$B$319,$A18,'Test Cases'!$I$2:$I$319,"P3")</f>
        <v/>
      </c>
      <c r="G18" s="20">
        <f>COUNTIFS('Test Cases'!$B$2:$B$319,$A18,'Test Cases'!$L$2:$L$319,"Pass")</f>
        <v/>
      </c>
      <c r="H18" s="20">
        <f>COUNTIFS('Test Cases'!$B$2:$B$319,$A18,'Test Cases'!$L$2:$L$319,"Fail")</f>
        <v/>
      </c>
      <c r="I18" s="20">
        <f>COUNTIFS('Test Cases'!$B$2:$B$319,$A18,'Test Cases'!$L$2:$L$319,"Blocked")</f>
        <v/>
      </c>
      <c r="J18" s="20">
        <f>COUNTIFS('Test Cases'!$B$2:$B$319,$A18,'Test Cases'!$L$2:$L$319,"N/A")</f>
        <v/>
      </c>
      <c r="K18" s="20">
        <f>COUNTIFS('Test Cases'!$B$2:$B$319,$A18,'Test Cases'!$L$2:$L$319,"Not Run")</f>
        <v/>
      </c>
      <c r="L18" s="21">
        <f>IF(C18=0,0,(C18-K18)/C18)</f>
        <v/>
      </c>
      <c r="M18" s="21">
        <f>IF((C18-K18-J18)=0,0,G18/(C18-K18-J18))</f>
        <v/>
      </c>
    </row>
    <row r="19" ht="15" customHeight="1" s="15">
      <c r="A19" s="19" t="inlineStr">
        <is>
          <t>Real-time Decisioning</t>
        </is>
      </c>
      <c r="B19" s="19" t="inlineStr">
        <is>
          <t>§22</t>
        </is>
      </c>
      <c r="C19" s="20">
        <f>COUNTIF('Test Cases'!$B$2:$B$319,$A19)</f>
        <v/>
      </c>
      <c r="D19" s="20">
        <f>COUNTIFS('Test Cases'!$B$2:$B$319,$A19,'Test Cases'!$I$2:$I$319,"P1")</f>
        <v/>
      </c>
      <c r="E19" s="20">
        <f>COUNTIFS('Test Cases'!$B$2:$B$319,$A19,'Test Cases'!$I$2:$I$319,"P2")</f>
        <v/>
      </c>
      <c r="F19" s="20">
        <f>COUNTIFS('Test Cases'!$B$2:$B$319,$A19,'Test Cases'!$I$2:$I$319,"P3")</f>
        <v/>
      </c>
      <c r="G19" s="20">
        <f>COUNTIFS('Test Cases'!$B$2:$B$319,$A19,'Test Cases'!$L$2:$L$319,"Pass")</f>
        <v/>
      </c>
      <c r="H19" s="20">
        <f>COUNTIFS('Test Cases'!$B$2:$B$319,$A19,'Test Cases'!$L$2:$L$319,"Fail")</f>
        <v/>
      </c>
      <c r="I19" s="20">
        <f>COUNTIFS('Test Cases'!$B$2:$B$319,$A19,'Test Cases'!$L$2:$L$319,"Blocked")</f>
        <v/>
      </c>
      <c r="J19" s="20">
        <f>COUNTIFS('Test Cases'!$B$2:$B$319,$A19,'Test Cases'!$L$2:$L$319,"N/A")</f>
        <v/>
      </c>
      <c r="K19" s="20">
        <f>COUNTIFS('Test Cases'!$B$2:$B$319,$A19,'Test Cases'!$L$2:$L$319,"Not Run")</f>
        <v/>
      </c>
      <c r="L19" s="21">
        <f>IF(C19=0,0,(C19-K19)/C19)</f>
        <v/>
      </c>
      <c r="M19" s="21">
        <f>IF((C19-K19-J19)=0,0,G19/(C19-K19-J19))</f>
        <v/>
      </c>
    </row>
    <row r="20" ht="15" customHeight="1" s="15">
      <c r="A20" s="19" t="inlineStr">
        <is>
          <t>Payment Transparency (R.16)</t>
        </is>
      </c>
      <c r="B20" s="19" t="inlineStr">
        <is>
          <t>§23</t>
        </is>
      </c>
      <c r="C20" s="20">
        <f>COUNTIF('Test Cases'!$B$2:$B$319,$A20)</f>
        <v/>
      </c>
      <c r="D20" s="20">
        <f>COUNTIFS('Test Cases'!$B$2:$B$319,$A20,'Test Cases'!$I$2:$I$319,"P1")</f>
        <v/>
      </c>
      <c r="E20" s="20">
        <f>COUNTIFS('Test Cases'!$B$2:$B$319,$A20,'Test Cases'!$I$2:$I$319,"P2")</f>
        <v/>
      </c>
      <c r="F20" s="20">
        <f>COUNTIFS('Test Cases'!$B$2:$B$319,$A20,'Test Cases'!$I$2:$I$319,"P3")</f>
        <v/>
      </c>
      <c r="G20" s="20">
        <f>COUNTIFS('Test Cases'!$B$2:$B$319,$A20,'Test Cases'!$L$2:$L$319,"Pass")</f>
        <v/>
      </c>
      <c r="H20" s="20">
        <f>COUNTIFS('Test Cases'!$B$2:$B$319,$A20,'Test Cases'!$L$2:$L$319,"Fail")</f>
        <v/>
      </c>
      <c r="I20" s="20">
        <f>COUNTIFS('Test Cases'!$B$2:$B$319,$A20,'Test Cases'!$L$2:$L$319,"Blocked")</f>
        <v/>
      </c>
      <c r="J20" s="20">
        <f>COUNTIFS('Test Cases'!$B$2:$B$319,$A20,'Test Cases'!$L$2:$L$319,"N/A")</f>
        <v/>
      </c>
      <c r="K20" s="20">
        <f>COUNTIFS('Test Cases'!$B$2:$B$319,$A20,'Test Cases'!$L$2:$L$319,"Not Run")</f>
        <v/>
      </c>
      <c r="L20" s="21">
        <f>IF(C20=0,0,(C20-K20)/C20)</f>
        <v/>
      </c>
      <c r="M20" s="21">
        <f>IF((C20-K20-J20)=0,0,G20/(C20-K20-J20))</f>
        <v/>
      </c>
    </row>
    <row r="21" ht="15" customHeight="1" s="15">
      <c r="A21" s="19" t="inlineStr">
        <is>
          <t>Regulatory Reporting (STR/SAR)</t>
        </is>
      </c>
      <c r="B21" s="19" t="inlineStr">
        <is>
          <t>§19</t>
        </is>
      </c>
      <c r="C21" s="20">
        <f>COUNTIF('Test Cases'!$B$2:$B$319,$A21)</f>
        <v/>
      </c>
      <c r="D21" s="20">
        <f>COUNTIFS('Test Cases'!$B$2:$B$319,$A21,'Test Cases'!$I$2:$I$319,"P1")</f>
        <v/>
      </c>
      <c r="E21" s="20">
        <f>COUNTIFS('Test Cases'!$B$2:$B$319,$A21,'Test Cases'!$I$2:$I$319,"P2")</f>
        <v/>
      </c>
      <c r="F21" s="20">
        <f>COUNTIFS('Test Cases'!$B$2:$B$319,$A21,'Test Cases'!$I$2:$I$319,"P3")</f>
        <v/>
      </c>
      <c r="G21" s="20">
        <f>COUNTIFS('Test Cases'!$B$2:$B$319,$A21,'Test Cases'!$L$2:$L$319,"Pass")</f>
        <v/>
      </c>
      <c r="H21" s="20">
        <f>COUNTIFS('Test Cases'!$B$2:$B$319,$A21,'Test Cases'!$L$2:$L$319,"Fail")</f>
        <v/>
      </c>
      <c r="I21" s="20">
        <f>COUNTIFS('Test Cases'!$B$2:$B$319,$A21,'Test Cases'!$L$2:$L$319,"Blocked")</f>
        <v/>
      </c>
      <c r="J21" s="20">
        <f>COUNTIFS('Test Cases'!$B$2:$B$319,$A21,'Test Cases'!$L$2:$L$319,"N/A")</f>
        <v/>
      </c>
      <c r="K21" s="20">
        <f>COUNTIFS('Test Cases'!$B$2:$B$319,$A21,'Test Cases'!$L$2:$L$319,"Not Run")</f>
        <v/>
      </c>
      <c r="L21" s="21">
        <f>IF(C21=0,0,(C21-K21)/C21)</f>
        <v/>
      </c>
      <c r="M21" s="21">
        <f>IF((C21-K21-J21)=0,0,G21/(C21-K21-J21))</f>
        <v/>
      </c>
    </row>
    <row r="22" ht="15" customHeight="1" s="15">
      <c r="A22" s="19" t="inlineStr">
        <is>
          <t>Tipping-off Controls</t>
        </is>
      </c>
      <c r="B22" s="19" t="inlineStr">
        <is>
          <t>§20</t>
        </is>
      </c>
      <c r="C22" s="20">
        <f>COUNTIF('Test Cases'!$B$2:$B$319,$A22)</f>
        <v/>
      </c>
      <c r="D22" s="20">
        <f>COUNTIFS('Test Cases'!$B$2:$B$319,$A22,'Test Cases'!$I$2:$I$319,"P1")</f>
        <v/>
      </c>
      <c r="E22" s="20">
        <f>COUNTIFS('Test Cases'!$B$2:$B$319,$A22,'Test Cases'!$I$2:$I$319,"P2")</f>
        <v/>
      </c>
      <c r="F22" s="20">
        <f>COUNTIFS('Test Cases'!$B$2:$B$319,$A22,'Test Cases'!$I$2:$I$319,"P3")</f>
        <v/>
      </c>
      <c r="G22" s="20">
        <f>COUNTIFS('Test Cases'!$B$2:$B$319,$A22,'Test Cases'!$L$2:$L$319,"Pass")</f>
        <v/>
      </c>
      <c r="H22" s="20">
        <f>COUNTIFS('Test Cases'!$B$2:$B$319,$A22,'Test Cases'!$L$2:$L$319,"Fail")</f>
        <v/>
      </c>
      <c r="I22" s="20">
        <f>COUNTIFS('Test Cases'!$B$2:$B$319,$A22,'Test Cases'!$L$2:$L$319,"Blocked")</f>
        <v/>
      </c>
      <c r="J22" s="20">
        <f>COUNTIFS('Test Cases'!$B$2:$B$319,$A22,'Test Cases'!$L$2:$L$319,"N/A")</f>
        <v/>
      </c>
      <c r="K22" s="20">
        <f>COUNTIFS('Test Cases'!$B$2:$B$319,$A22,'Test Cases'!$L$2:$L$319,"Not Run")</f>
        <v/>
      </c>
      <c r="L22" s="21">
        <f>IF(C22=0,0,(C22-K22)/C22)</f>
        <v/>
      </c>
      <c r="M22" s="21">
        <f>IF((C22-K22-J22)=0,0,G22/(C22-K22-J22))</f>
        <v/>
      </c>
    </row>
    <row r="23" ht="15" customHeight="1" s="15">
      <c r="A23" s="19" t="inlineStr">
        <is>
          <t>Entity Resolution &amp; Device Intelligence</t>
        </is>
      </c>
      <c r="B23" s="19" t="inlineStr">
        <is>
          <t>§25</t>
        </is>
      </c>
      <c r="C23" s="20">
        <f>COUNTIF('Test Cases'!$B$2:$B$319,$A23)</f>
        <v/>
      </c>
      <c r="D23" s="20">
        <f>COUNTIFS('Test Cases'!$B$2:$B$319,$A23,'Test Cases'!$I$2:$I$319,"P1")</f>
        <v/>
      </c>
      <c r="E23" s="20">
        <f>COUNTIFS('Test Cases'!$B$2:$B$319,$A23,'Test Cases'!$I$2:$I$319,"P2")</f>
        <v/>
      </c>
      <c r="F23" s="20">
        <f>COUNTIFS('Test Cases'!$B$2:$B$319,$A23,'Test Cases'!$I$2:$I$319,"P3")</f>
        <v/>
      </c>
      <c r="G23" s="20">
        <f>COUNTIFS('Test Cases'!$B$2:$B$319,$A23,'Test Cases'!$L$2:$L$319,"Pass")</f>
        <v/>
      </c>
      <c r="H23" s="20">
        <f>COUNTIFS('Test Cases'!$B$2:$B$319,$A23,'Test Cases'!$L$2:$L$319,"Fail")</f>
        <v/>
      </c>
      <c r="I23" s="20">
        <f>COUNTIFS('Test Cases'!$B$2:$B$319,$A23,'Test Cases'!$L$2:$L$319,"Blocked")</f>
        <v/>
      </c>
      <c r="J23" s="20">
        <f>COUNTIFS('Test Cases'!$B$2:$B$319,$A23,'Test Cases'!$L$2:$L$319,"N/A")</f>
        <v/>
      </c>
      <c r="K23" s="20">
        <f>COUNTIFS('Test Cases'!$B$2:$B$319,$A23,'Test Cases'!$L$2:$L$319,"Not Run")</f>
        <v/>
      </c>
      <c r="L23" s="21">
        <f>IF(C23=0,0,(C23-K23)/C23)</f>
        <v/>
      </c>
      <c r="M23" s="21">
        <f>IF((C23-K23-J23)=0,0,G23/(C23-K23-J23))</f>
        <v/>
      </c>
    </row>
    <row r="24" ht="15" customHeight="1" s="15">
      <c r="A24" s="19" t="inlineStr">
        <is>
          <t>Agent &amp; Merchant Risk</t>
        </is>
      </c>
      <c r="B24" s="19" t="inlineStr">
        <is>
          <t>§26</t>
        </is>
      </c>
      <c r="C24" s="20">
        <f>COUNTIF('Test Cases'!$B$2:$B$319,$A24)</f>
        <v/>
      </c>
      <c r="D24" s="20">
        <f>COUNTIFS('Test Cases'!$B$2:$B$319,$A24,'Test Cases'!$I$2:$I$319,"P1")</f>
        <v/>
      </c>
      <c r="E24" s="20">
        <f>COUNTIFS('Test Cases'!$B$2:$B$319,$A24,'Test Cases'!$I$2:$I$319,"P2")</f>
        <v/>
      </c>
      <c r="F24" s="20">
        <f>COUNTIFS('Test Cases'!$B$2:$B$319,$A24,'Test Cases'!$I$2:$I$319,"P3")</f>
        <v/>
      </c>
      <c r="G24" s="20">
        <f>COUNTIFS('Test Cases'!$B$2:$B$319,$A24,'Test Cases'!$L$2:$L$319,"Pass")</f>
        <v/>
      </c>
      <c r="H24" s="20">
        <f>COUNTIFS('Test Cases'!$B$2:$B$319,$A24,'Test Cases'!$L$2:$L$319,"Fail")</f>
        <v/>
      </c>
      <c r="I24" s="20">
        <f>COUNTIFS('Test Cases'!$B$2:$B$319,$A24,'Test Cases'!$L$2:$L$319,"Blocked")</f>
        <v/>
      </c>
      <c r="J24" s="20">
        <f>COUNTIFS('Test Cases'!$B$2:$B$319,$A24,'Test Cases'!$L$2:$L$319,"N/A")</f>
        <v/>
      </c>
      <c r="K24" s="20">
        <f>COUNTIFS('Test Cases'!$B$2:$B$319,$A24,'Test Cases'!$L$2:$L$319,"Not Run")</f>
        <v/>
      </c>
      <c r="L24" s="21">
        <f>IF(C24=0,0,(C24-K24)/C24)</f>
        <v/>
      </c>
      <c r="M24" s="21">
        <f>IF((C24-K24-J24)=0,0,G24/(C24-K24-J24))</f>
        <v/>
      </c>
    </row>
    <row r="25" ht="15" customHeight="1" s="15">
      <c r="A25" s="19" t="inlineStr">
        <is>
          <t>Configuration Integrity</t>
        </is>
      </c>
      <c r="B25" s="19" t="inlineStr">
        <is>
          <t>§27</t>
        </is>
      </c>
      <c r="C25" s="20">
        <f>COUNTIF('Test Cases'!$B$2:$B$319,$A25)</f>
        <v/>
      </c>
      <c r="D25" s="20">
        <f>COUNTIFS('Test Cases'!$B$2:$B$319,$A25,'Test Cases'!$I$2:$I$319,"P1")</f>
        <v/>
      </c>
      <c r="E25" s="20">
        <f>COUNTIFS('Test Cases'!$B$2:$B$319,$A25,'Test Cases'!$I$2:$I$319,"P2")</f>
        <v/>
      </c>
      <c r="F25" s="20">
        <f>COUNTIFS('Test Cases'!$B$2:$B$319,$A25,'Test Cases'!$I$2:$I$319,"P3")</f>
        <v/>
      </c>
      <c r="G25" s="20">
        <f>COUNTIFS('Test Cases'!$B$2:$B$319,$A25,'Test Cases'!$L$2:$L$319,"Pass")</f>
        <v/>
      </c>
      <c r="H25" s="20">
        <f>COUNTIFS('Test Cases'!$B$2:$B$319,$A25,'Test Cases'!$L$2:$L$319,"Fail")</f>
        <v/>
      </c>
      <c r="I25" s="20">
        <f>COUNTIFS('Test Cases'!$B$2:$B$319,$A25,'Test Cases'!$L$2:$L$319,"Blocked")</f>
        <v/>
      </c>
      <c r="J25" s="20">
        <f>COUNTIFS('Test Cases'!$B$2:$B$319,$A25,'Test Cases'!$L$2:$L$319,"N/A")</f>
        <v/>
      </c>
      <c r="K25" s="20">
        <f>COUNTIFS('Test Cases'!$B$2:$B$319,$A25,'Test Cases'!$L$2:$L$319,"Not Run")</f>
        <v/>
      </c>
      <c r="L25" s="21">
        <f>IF(C25=0,0,(C25-K25)/C25)</f>
        <v/>
      </c>
      <c r="M25" s="21">
        <f>IF((C25-K25-J25)=0,0,G25/(C25-K25-J25))</f>
        <v/>
      </c>
    </row>
    <row r="26" ht="15" customHeight="1" s="15">
      <c r="A26" s="19" t="inlineStr">
        <is>
          <t>Monitoring Effectiveness &amp; Tuning</t>
        </is>
      </c>
      <c r="B26" s="19" t="inlineStr">
        <is>
          <t>§28</t>
        </is>
      </c>
      <c r="C26" s="20">
        <f>COUNTIF('Test Cases'!$B$2:$B$319,$A26)</f>
        <v/>
      </c>
      <c r="D26" s="20">
        <f>COUNTIFS('Test Cases'!$B$2:$B$319,$A26,'Test Cases'!$I$2:$I$319,"P1")</f>
        <v/>
      </c>
      <c r="E26" s="20">
        <f>COUNTIFS('Test Cases'!$B$2:$B$319,$A26,'Test Cases'!$I$2:$I$319,"P2")</f>
        <v/>
      </c>
      <c r="F26" s="20">
        <f>COUNTIFS('Test Cases'!$B$2:$B$319,$A26,'Test Cases'!$I$2:$I$319,"P3")</f>
        <v/>
      </c>
      <c r="G26" s="20">
        <f>COUNTIFS('Test Cases'!$B$2:$B$319,$A26,'Test Cases'!$L$2:$L$319,"Pass")</f>
        <v/>
      </c>
      <c r="H26" s="20">
        <f>COUNTIFS('Test Cases'!$B$2:$B$319,$A26,'Test Cases'!$L$2:$L$319,"Fail")</f>
        <v/>
      </c>
      <c r="I26" s="20">
        <f>COUNTIFS('Test Cases'!$B$2:$B$319,$A26,'Test Cases'!$L$2:$L$319,"Blocked")</f>
        <v/>
      </c>
      <c r="J26" s="20">
        <f>COUNTIFS('Test Cases'!$B$2:$B$319,$A26,'Test Cases'!$L$2:$L$319,"N/A")</f>
        <v/>
      </c>
      <c r="K26" s="20">
        <f>COUNTIFS('Test Cases'!$B$2:$B$319,$A26,'Test Cases'!$L$2:$L$319,"Not Run")</f>
        <v/>
      </c>
      <c r="L26" s="21">
        <f>IF(C26=0,0,(C26-K26)/C26)</f>
        <v/>
      </c>
      <c r="M26" s="21">
        <f>IF((C26-K26-J26)=0,0,G26/(C26-K26-J26))</f>
        <v/>
      </c>
    </row>
    <row r="27" ht="15" customHeight="1" s="15">
      <c r="A27" s="19" t="inlineStr">
        <is>
          <t>Investigation QA</t>
        </is>
      </c>
      <c r="B27" s="19" t="inlineStr">
        <is>
          <t>§29</t>
        </is>
      </c>
      <c r="C27" s="20">
        <f>COUNTIF('Test Cases'!$B$2:$B$319,$A27)</f>
        <v/>
      </c>
      <c r="D27" s="20">
        <f>COUNTIFS('Test Cases'!$B$2:$B$319,$A27,'Test Cases'!$I$2:$I$319,"P1")</f>
        <v/>
      </c>
      <c r="E27" s="20">
        <f>COUNTIFS('Test Cases'!$B$2:$B$319,$A27,'Test Cases'!$I$2:$I$319,"P2")</f>
        <v/>
      </c>
      <c r="F27" s="20">
        <f>COUNTIFS('Test Cases'!$B$2:$B$319,$A27,'Test Cases'!$I$2:$I$319,"P3")</f>
        <v/>
      </c>
      <c r="G27" s="20">
        <f>COUNTIFS('Test Cases'!$B$2:$B$319,$A27,'Test Cases'!$L$2:$L$319,"Pass")</f>
        <v/>
      </c>
      <c r="H27" s="20">
        <f>COUNTIFS('Test Cases'!$B$2:$B$319,$A27,'Test Cases'!$L$2:$L$319,"Fail")</f>
        <v/>
      </c>
      <c r="I27" s="20">
        <f>COUNTIFS('Test Cases'!$B$2:$B$319,$A27,'Test Cases'!$L$2:$L$319,"Blocked")</f>
        <v/>
      </c>
      <c r="J27" s="20">
        <f>COUNTIFS('Test Cases'!$B$2:$B$319,$A27,'Test Cases'!$L$2:$L$319,"N/A")</f>
        <v/>
      </c>
      <c r="K27" s="20">
        <f>COUNTIFS('Test Cases'!$B$2:$B$319,$A27,'Test Cases'!$L$2:$L$319,"Not Run")</f>
        <v/>
      </c>
      <c r="L27" s="21">
        <f>IF(C27=0,0,(C27-K27)/C27)</f>
        <v/>
      </c>
      <c r="M27" s="21">
        <f>IF((C27-K27-J27)=0,0,G27/(C27-K27-J27))</f>
        <v/>
      </c>
    </row>
    <row r="28" ht="15" customHeight="1" s="15">
      <c r="A28" s="19" t="inlineStr">
        <is>
          <t>Retention &amp; Legal Hold</t>
        </is>
      </c>
      <c r="B28" s="19" t="inlineStr">
        <is>
          <t>§30</t>
        </is>
      </c>
      <c r="C28" s="20">
        <f>COUNTIF('Test Cases'!$B$2:$B$319,$A28)</f>
        <v/>
      </c>
      <c r="D28" s="20">
        <f>COUNTIFS('Test Cases'!$B$2:$B$319,$A28,'Test Cases'!$I$2:$I$319,"P1")</f>
        <v/>
      </c>
      <c r="E28" s="20">
        <f>COUNTIFS('Test Cases'!$B$2:$B$319,$A28,'Test Cases'!$I$2:$I$319,"P2")</f>
        <v/>
      </c>
      <c r="F28" s="20">
        <f>COUNTIFS('Test Cases'!$B$2:$B$319,$A28,'Test Cases'!$I$2:$I$319,"P3")</f>
        <v/>
      </c>
      <c r="G28" s="20">
        <f>COUNTIFS('Test Cases'!$B$2:$B$319,$A28,'Test Cases'!$L$2:$L$319,"Pass")</f>
        <v/>
      </c>
      <c r="H28" s="20">
        <f>COUNTIFS('Test Cases'!$B$2:$B$319,$A28,'Test Cases'!$L$2:$L$319,"Fail")</f>
        <v/>
      </c>
      <c r="I28" s="20">
        <f>COUNTIFS('Test Cases'!$B$2:$B$319,$A28,'Test Cases'!$L$2:$L$319,"Blocked")</f>
        <v/>
      </c>
      <c r="J28" s="20">
        <f>COUNTIFS('Test Cases'!$B$2:$B$319,$A28,'Test Cases'!$L$2:$L$319,"N/A")</f>
        <v/>
      </c>
      <c r="K28" s="20">
        <f>COUNTIFS('Test Cases'!$B$2:$B$319,$A28,'Test Cases'!$L$2:$L$319,"Not Run")</f>
        <v/>
      </c>
      <c r="L28" s="21">
        <f>IF(C28=0,0,(C28-K28)/C28)</f>
        <v/>
      </c>
      <c r="M28" s="21">
        <f>IF((C28-K28-J28)=0,0,G28/(C28-K28-J28))</f>
        <v/>
      </c>
    </row>
    <row r="29" ht="15" customHeight="1" s="15">
      <c r="A29" s="19" t="inlineStr">
        <is>
          <t>Security &amp; Audit</t>
        </is>
      </c>
      <c r="B29" s="19" t="inlineStr">
        <is>
          <t>§13</t>
        </is>
      </c>
      <c r="C29" s="20">
        <f>COUNTIF('Test Cases'!$B$2:$B$319,$A29)</f>
        <v/>
      </c>
      <c r="D29" s="20">
        <f>COUNTIFS('Test Cases'!$B$2:$B$319,$A29,'Test Cases'!$I$2:$I$319,"P1")</f>
        <v/>
      </c>
      <c r="E29" s="20">
        <f>COUNTIFS('Test Cases'!$B$2:$B$319,$A29,'Test Cases'!$I$2:$I$319,"P2")</f>
        <v/>
      </c>
      <c r="F29" s="20">
        <f>COUNTIFS('Test Cases'!$B$2:$B$319,$A29,'Test Cases'!$I$2:$I$319,"P3")</f>
        <v/>
      </c>
      <c r="G29" s="20">
        <f>COUNTIFS('Test Cases'!$B$2:$B$319,$A29,'Test Cases'!$L$2:$L$319,"Pass")</f>
        <v/>
      </c>
      <c r="H29" s="20">
        <f>COUNTIFS('Test Cases'!$B$2:$B$319,$A29,'Test Cases'!$L$2:$L$319,"Fail")</f>
        <v/>
      </c>
      <c r="I29" s="20">
        <f>COUNTIFS('Test Cases'!$B$2:$B$319,$A29,'Test Cases'!$L$2:$L$319,"Blocked")</f>
        <v/>
      </c>
      <c r="J29" s="20">
        <f>COUNTIFS('Test Cases'!$B$2:$B$319,$A29,'Test Cases'!$L$2:$L$319,"N/A")</f>
        <v/>
      </c>
      <c r="K29" s="20">
        <f>COUNTIFS('Test Cases'!$B$2:$B$319,$A29,'Test Cases'!$L$2:$L$319,"Not Run")</f>
        <v/>
      </c>
      <c r="L29" s="21">
        <f>IF(C29=0,0,(C29-K29)/C29)</f>
        <v/>
      </c>
      <c r="M29" s="21">
        <f>IF((C29-K29-J29)=0,0,G29/(C29-K29-J29))</f>
        <v/>
      </c>
    </row>
    <row r="30" ht="15" customHeight="1" s="15">
      <c r="A30" s="19" t="inlineStr">
        <is>
          <t>API Contracts</t>
        </is>
      </c>
      <c r="B30" s="19" t="inlineStr">
        <is>
          <t>§14</t>
        </is>
      </c>
      <c r="C30" s="20">
        <f>COUNTIF('Test Cases'!$B$2:$B$319,$A30)</f>
        <v/>
      </c>
      <c r="D30" s="20">
        <f>COUNTIFS('Test Cases'!$B$2:$B$319,$A30,'Test Cases'!$I$2:$I$319,"P1")</f>
        <v/>
      </c>
      <c r="E30" s="20">
        <f>COUNTIFS('Test Cases'!$B$2:$B$319,$A30,'Test Cases'!$I$2:$I$319,"P2")</f>
        <v/>
      </c>
      <c r="F30" s="20">
        <f>COUNTIFS('Test Cases'!$B$2:$B$319,$A30,'Test Cases'!$I$2:$I$319,"P3")</f>
        <v/>
      </c>
      <c r="G30" s="20">
        <f>COUNTIFS('Test Cases'!$B$2:$B$319,$A30,'Test Cases'!$L$2:$L$319,"Pass")</f>
        <v/>
      </c>
      <c r="H30" s="20">
        <f>COUNTIFS('Test Cases'!$B$2:$B$319,$A30,'Test Cases'!$L$2:$L$319,"Fail")</f>
        <v/>
      </c>
      <c r="I30" s="20">
        <f>COUNTIFS('Test Cases'!$B$2:$B$319,$A30,'Test Cases'!$L$2:$L$319,"Blocked")</f>
        <v/>
      </c>
      <c r="J30" s="20">
        <f>COUNTIFS('Test Cases'!$B$2:$B$319,$A30,'Test Cases'!$L$2:$L$319,"N/A")</f>
        <v/>
      </c>
      <c r="K30" s="20">
        <f>COUNTIFS('Test Cases'!$B$2:$B$319,$A30,'Test Cases'!$L$2:$L$319,"Not Run")</f>
        <v/>
      </c>
      <c r="L30" s="21">
        <f>IF(C30=0,0,(C30-K30)/C30)</f>
        <v/>
      </c>
      <c r="M30" s="21">
        <f>IF((C30-K30-J30)=0,0,G30/(C30-K30-J30))</f>
        <v/>
      </c>
    </row>
    <row r="31" ht="15" customHeight="1" s="15">
      <c r="A31" s="19" t="inlineStr">
        <is>
          <t>Reports &amp; Exports</t>
        </is>
      </c>
      <c r="B31" s="19" t="inlineStr">
        <is>
          <t>§12, §31</t>
        </is>
      </c>
      <c r="C31" s="20">
        <f>COUNTIF('Test Cases'!$B$2:$B$319,$A31)</f>
        <v/>
      </c>
      <c r="D31" s="20">
        <f>COUNTIFS('Test Cases'!$B$2:$B$319,$A31,'Test Cases'!$I$2:$I$319,"P1")</f>
        <v/>
      </c>
      <c r="E31" s="20">
        <f>COUNTIFS('Test Cases'!$B$2:$B$319,$A31,'Test Cases'!$I$2:$I$319,"P2")</f>
        <v/>
      </c>
      <c r="F31" s="20">
        <f>COUNTIFS('Test Cases'!$B$2:$B$319,$A31,'Test Cases'!$I$2:$I$319,"P3")</f>
        <v/>
      </c>
      <c r="G31" s="20">
        <f>COUNTIFS('Test Cases'!$B$2:$B$319,$A31,'Test Cases'!$L$2:$L$319,"Pass")</f>
        <v/>
      </c>
      <c r="H31" s="20">
        <f>COUNTIFS('Test Cases'!$B$2:$B$319,$A31,'Test Cases'!$L$2:$L$319,"Fail")</f>
        <v/>
      </c>
      <c r="I31" s="20">
        <f>COUNTIFS('Test Cases'!$B$2:$B$319,$A31,'Test Cases'!$L$2:$L$319,"Blocked")</f>
        <v/>
      </c>
      <c r="J31" s="20">
        <f>COUNTIFS('Test Cases'!$B$2:$B$319,$A31,'Test Cases'!$L$2:$L$319,"N/A")</f>
        <v/>
      </c>
      <c r="K31" s="20">
        <f>COUNTIFS('Test Cases'!$B$2:$B$319,$A31,'Test Cases'!$L$2:$L$319,"Not Run")</f>
        <v/>
      </c>
      <c r="L31" s="21">
        <f>IF(C31=0,0,(C31-K31)/C31)</f>
        <v/>
      </c>
      <c r="M31" s="21">
        <f>IF((C31-K31-J31)=0,0,G31/(C31-K31-J31))</f>
        <v/>
      </c>
    </row>
    <row r="32" ht="15" customHeight="1" s="15">
      <c r="A32" s="19" t="inlineStr">
        <is>
          <t>Localization &amp; Arabic Name Matching</t>
        </is>
      </c>
      <c r="B32" s="19" t="inlineStr">
        <is>
          <t>§33</t>
        </is>
      </c>
      <c r="C32" s="20">
        <f>COUNTIF('Test Cases'!$B$2:$B$319,$A32)</f>
        <v/>
      </c>
      <c r="D32" s="20">
        <f>COUNTIFS('Test Cases'!$B$2:$B$319,$A32,'Test Cases'!$I$2:$I$319,"P1")</f>
        <v/>
      </c>
      <c r="E32" s="20">
        <f>COUNTIFS('Test Cases'!$B$2:$B$319,$A32,'Test Cases'!$I$2:$I$319,"P2")</f>
        <v/>
      </c>
      <c r="F32" s="20">
        <f>COUNTIFS('Test Cases'!$B$2:$B$319,$A32,'Test Cases'!$I$2:$I$319,"P3")</f>
        <v/>
      </c>
      <c r="G32" s="20">
        <f>COUNTIFS('Test Cases'!$B$2:$B$319,$A32,'Test Cases'!$L$2:$L$319,"Pass")</f>
        <v/>
      </c>
      <c r="H32" s="20">
        <f>COUNTIFS('Test Cases'!$B$2:$B$319,$A32,'Test Cases'!$L$2:$L$319,"Fail")</f>
        <v/>
      </c>
      <c r="I32" s="20">
        <f>COUNTIFS('Test Cases'!$B$2:$B$319,$A32,'Test Cases'!$L$2:$L$319,"Blocked")</f>
        <v/>
      </c>
      <c r="J32" s="20">
        <f>COUNTIFS('Test Cases'!$B$2:$B$319,$A32,'Test Cases'!$L$2:$L$319,"N/A")</f>
        <v/>
      </c>
      <c r="K32" s="20">
        <f>COUNTIFS('Test Cases'!$B$2:$B$319,$A32,'Test Cases'!$L$2:$L$319,"Not Run")</f>
        <v/>
      </c>
      <c r="L32" s="21">
        <f>IF(C32=0,0,(C32-K32)/C32)</f>
        <v/>
      </c>
      <c r="M32" s="21">
        <f>IF((C32-K32-J32)=0,0,G32/(C32-K32-J32))</f>
        <v/>
      </c>
    </row>
    <row r="33" ht="15" customHeight="1" s="15">
      <c r="A33" s="19" t="inlineStr">
        <is>
          <t>Non-functional (Performance, Availability, DR)</t>
        </is>
      </c>
      <c r="B33" s="19" t="inlineStr">
        <is>
          <t>§32</t>
        </is>
      </c>
      <c r="C33" s="20">
        <f>COUNTIF('Test Cases'!$B$2:$B$319,$A33)</f>
        <v/>
      </c>
      <c r="D33" s="20">
        <f>COUNTIFS('Test Cases'!$B$2:$B$319,$A33,'Test Cases'!$I$2:$I$319,"P1")</f>
        <v/>
      </c>
      <c r="E33" s="20">
        <f>COUNTIFS('Test Cases'!$B$2:$B$319,$A33,'Test Cases'!$I$2:$I$319,"P2")</f>
        <v/>
      </c>
      <c r="F33" s="20">
        <f>COUNTIFS('Test Cases'!$B$2:$B$319,$A33,'Test Cases'!$I$2:$I$319,"P3")</f>
        <v/>
      </c>
      <c r="G33" s="20">
        <f>COUNTIFS('Test Cases'!$B$2:$B$319,$A33,'Test Cases'!$L$2:$L$319,"Pass")</f>
        <v/>
      </c>
      <c r="H33" s="20">
        <f>COUNTIFS('Test Cases'!$B$2:$B$319,$A33,'Test Cases'!$L$2:$L$319,"Fail")</f>
        <v/>
      </c>
      <c r="I33" s="20">
        <f>COUNTIFS('Test Cases'!$B$2:$B$319,$A33,'Test Cases'!$L$2:$L$319,"Blocked")</f>
        <v/>
      </c>
      <c r="J33" s="20">
        <f>COUNTIFS('Test Cases'!$B$2:$B$319,$A33,'Test Cases'!$L$2:$L$319,"N/A")</f>
        <v/>
      </c>
      <c r="K33" s="20">
        <f>COUNTIFS('Test Cases'!$B$2:$B$319,$A33,'Test Cases'!$L$2:$L$319,"Not Run")</f>
        <v/>
      </c>
      <c r="L33" s="21">
        <f>IF(C33=0,0,(C33-K33)/C33)</f>
        <v/>
      </c>
      <c r="M33" s="21">
        <f>IF((C33-K33-J33)=0,0,G33/(C33-K33-J33))</f>
        <v/>
      </c>
    </row>
    <row r="34" ht="15" customHeight="1" s="15">
      <c r="A34" s="19" t="inlineStr">
        <is>
          <t>User Interface States</t>
        </is>
      </c>
      <c r="B34" s="19" t="inlineStr">
        <is>
          <t>§11</t>
        </is>
      </c>
      <c r="C34" s="20">
        <f>COUNTIF('Test Cases'!$B$2:$B$319,$A34)</f>
        <v/>
      </c>
      <c r="D34" s="20">
        <f>COUNTIFS('Test Cases'!$B$2:$B$319,$A34,'Test Cases'!$I$2:$I$319,"P1")</f>
        <v/>
      </c>
      <c r="E34" s="20">
        <f>COUNTIFS('Test Cases'!$B$2:$B$319,$A34,'Test Cases'!$I$2:$I$319,"P2")</f>
        <v/>
      </c>
      <c r="F34" s="20">
        <f>COUNTIFS('Test Cases'!$B$2:$B$319,$A34,'Test Cases'!$I$2:$I$319,"P3")</f>
        <v/>
      </c>
      <c r="G34" s="20">
        <f>COUNTIFS('Test Cases'!$B$2:$B$319,$A34,'Test Cases'!$L$2:$L$319,"Pass")</f>
        <v/>
      </c>
      <c r="H34" s="20">
        <f>COUNTIFS('Test Cases'!$B$2:$B$319,$A34,'Test Cases'!$L$2:$L$319,"Fail")</f>
        <v/>
      </c>
      <c r="I34" s="20">
        <f>COUNTIFS('Test Cases'!$B$2:$B$319,$A34,'Test Cases'!$L$2:$L$319,"Blocked")</f>
        <v/>
      </c>
      <c r="J34" s="20">
        <f>COUNTIFS('Test Cases'!$B$2:$B$319,$A34,'Test Cases'!$L$2:$L$319,"N/A")</f>
        <v/>
      </c>
      <c r="K34" s="20">
        <f>COUNTIFS('Test Cases'!$B$2:$B$319,$A34,'Test Cases'!$L$2:$L$319,"Not Run")</f>
        <v/>
      </c>
      <c r="L34" s="21">
        <f>IF(C34=0,0,(C34-K34)/C34)</f>
        <v/>
      </c>
      <c r="M34" s="21">
        <f>IF((C34-K34-J34)=0,0,G34/(C34-K34-J34))</f>
        <v/>
      </c>
    </row>
    <row r="35" ht="15" customHeight="1" s="15">
      <c r="A35" s="19" t="inlineStr">
        <is>
          <t>Jurisdiction Configuration &amp; Seed Data</t>
        </is>
      </c>
      <c r="B35" s="19" t="inlineStr">
        <is>
          <t>§34, §36</t>
        </is>
      </c>
      <c r="C35" s="20">
        <f>COUNTIF('Test Cases'!$B$2:$B$319,$A35)</f>
        <v/>
      </c>
      <c r="D35" s="20">
        <f>COUNTIFS('Test Cases'!$B$2:$B$319,$A35,'Test Cases'!$I$2:$I$319,"P1")</f>
        <v/>
      </c>
      <c r="E35" s="20">
        <f>COUNTIFS('Test Cases'!$B$2:$B$319,$A35,'Test Cases'!$I$2:$I$319,"P2")</f>
        <v/>
      </c>
      <c r="F35" s="20">
        <f>COUNTIFS('Test Cases'!$B$2:$B$319,$A35,'Test Cases'!$I$2:$I$319,"P3")</f>
        <v/>
      </c>
      <c r="G35" s="20">
        <f>COUNTIFS('Test Cases'!$B$2:$B$319,$A35,'Test Cases'!$L$2:$L$319,"Pass")</f>
        <v/>
      </c>
      <c r="H35" s="20">
        <f>COUNTIFS('Test Cases'!$B$2:$B$319,$A35,'Test Cases'!$L$2:$L$319,"Fail")</f>
        <v/>
      </c>
      <c r="I35" s="20">
        <f>COUNTIFS('Test Cases'!$B$2:$B$319,$A35,'Test Cases'!$L$2:$L$319,"Blocked")</f>
        <v/>
      </c>
      <c r="J35" s="20">
        <f>COUNTIFS('Test Cases'!$B$2:$B$319,$A35,'Test Cases'!$L$2:$L$319,"N/A")</f>
        <v/>
      </c>
      <c r="K35" s="20">
        <f>COUNTIFS('Test Cases'!$B$2:$B$319,$A35,'Test Cases'!$L$2:$L$319,"Not Run")</f>
        <v/>
      </c>
      <c r="L35" s="21">
        <f>IF(C35=0,0,(C35-K35)/C35)</f>
        <v/>
      </c>
      <c r="M35" s="21">
        <f>IF((C35-K35-J35)=0,0,G35/(C35-K35-J35))</f>
        <v/>
      </c>
    </row>
    <row r="36" ht="15" customHeight="1" s="15">
      <c r="A36" s="22" t="inlineStr">
        <is>
          <t>Total</t>
        </is>
      </c>
      <c r="B36" s="22" t="n"/>
      <c r="C36" s="23">
        <f>SUM(C5:C35)</f>
        <v/>
      </c>
      <c r="D36" s="23">
        <f>SUM(D5:D35)</f>
        <v/>
      </c>
      <c r="E36" s="23">
        <f>SUM(E5:E35)</f>
        <v/>
      </c>
      <c r="F36" s="23">
        <f>SUM(F5:F35)</f>
        <v/>
      </c>
      <c r="G36" s="23">
        <f>SUM(G5:G35)</f>
        <v/>
      </c>
      <c r="H36" s="23">
        <f>SUM(H5:H35)</f>
        <v/>
      </c>
      <c r="I36" s="23">
        <f>SUM(I5:I35)</f>
        <v/>
      </c>
      <c r="J36" s="23">
        <f>SUM(J5:J35)</f>
        <v/>
      </c>
      <c r="K36" s="23">
        <f>SUM(K5:K35)</f>
        <v/>
      </c>
      <c r="L36" s="24">
        <f>IF(C36=0,0,(C36-K36)/C36)</f>
        <v/>
      </c>
      <c r="M36" s="24">
        <f>IF((C36-K36-J36)=0,0,G36/(C36-K36-J36))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4" min="1" max="1"/>
    <col width="22" customWidth="1" style="14" min="2" max="2"/>
    <col width="9" customWidth="1" style="14" min="3" max="3"/>
    <col width="34" customWidth="1" style="14" min="4" max="4"/>
    <col width="28" customWidth="1" style="14" min="5" max="5"/>
    <col width="46" customWidth="1" style="14" min="6" max="6"/>
    <col width="20" customWidth="1" style="14" min="7" max="7"/>
    <col width="46" customWidth="1" style="14" min="8" max="8"/>
    <col width="8" customWidth="1" style="14" min="9" max="9"/>
    <col width="12" customWidth="1" style="14" min="10" max="10"/>
    <col width="11" customWidth="1" style="14" min="11" max="11"/>
    <col width="10" customWidth="1" style="14" min="12" max="12"/>
    <col width="30" customWidth="1" style="14" min="13" max="13"/>
    <col width="12" customWidth="1" style="14" min="14" max="15"/>
    <col width="11" customWidth="1" style="14" min="16" max="16"/>
    <col width="24" customWidth="1" style="14" min="17" max="17"/>
  </cols>
  <sheetData>
    <row r="1" ht="30" customHeight="1" s="15">
      <c r="A1" s="18" t="inlineStr">
        <is>
          <t>TC ID</t>
        </is>
      </c>
      <c r="B1" s="18" t="inlineStr">
        <is>
          <t>Module</t>
        </is>
      </c>
      <c r="C1" s="18" t="inlineStr">
        <is>
          <t>Spec Ref</t>
        </is>
      </c>
      <c r="D1" s="18" t="inlineStr">
        <is>
          <t>Title</t>
        </is>
      </c>
      <c r="E1" s="18" t="inlineStr">
        <is>
          <t>Preconditions</t>
        </is>
      </c>
      <c r="F1" s="18" t="inlineStr">
        <is>
          <t>Test Steps</t>
        </is>
      </c>
      <c r="G1" s="18" t="inlineStr">
        <is>
          <t>Test Data</t>
        </is>
      </c>
      <c r="H1" s="18" t="inlineStr">
        <is>
          <t>Expected Result</t>
        </is>
      </c>
      <c r="I1" s="18" t="inlineStr">
        <is>
          <t>Priority</t>
        </is>
      </c>
      <c r="J1" s="18" t="inlineStr">
        <is>
          <t>Test Type</t>
        </is>
      </c>
      <c r="K1" s="18" t="inlineStr">
        <is>
          <t>Test Level</t>
        </is>
      </c>
      <c r="L1" s="18" t="inlineStr">
        <is>
          <t>Status</t>
        </is>
      </c>
      <c r="M1" s="18" t="inlineStr">
        <is>
          <t>Actual Result</t>
        </is>
      </c>
      <c r="N1" s="18" t="inlineStr">
        <is>
          <t>Tester</t>
        </is>
      </c>
      <c r="O1" s="18" t="inlineStr">
        <is>
          <t>Execution Date</t>
        </is>
      </c>
      <c r="P1" s="18" t="inlineStr">
        <is>
          <t>Defect ID</t>
        </is>
      </c>
      <c r="Q1" s="18" t="inlineStr">
        <is>
          <t>Notes</t>
        </is>
      </c>
    </row>
    <row r="2" ht="43.25" customHeight="1" s="15">
      <c r="A2" s="25" t="inlineStr">
        <is>
          <t>TC-FLD-001</t>
        </is>
      </c>
      <c r="B2" s="25" t="inlineStr">
        <is>
          <t>Dynamic Customer Fields</t>
        </is>
      </c>
      <c r="C2" s="25" t="inlineStr">
        <is>
          <t>§4</t>
        </is>
      </c>
      <c r="D2" s="25" t="inlineStr">
        <is>
          <t>Create a new short-text field as draft</t>
        </is>
      </c>
      <c r="E2" s="25" t="inlineStr">
        <is>
          <t>Admin with field-config permission</t>
        </is>
      </c>
      <c r="F2" s="25" t="inlineStr">
        <is>
          <t>1. Open Customer Field Configuration
2. Click New field
3. Enter code, label, type=Short text, group=Core Details
4. Save as draft</t>
        </is>
      </c>
      <c r="G2" s="25" t="inlineStr">
        <is>
          <t>code=MOTHER_NAME</t>
        </is>
      </c>
      <c r="H2" s="25" t="inlineStr">
        <is>
          <t>Field saved with status Draft, version 1; not visible on customer forms</t>
        </is>
      </c>
      <c r="I2" s="25" t="inlineStr">
        <is>
          <t>P1</t>
        </is>
      </c>
      <c r="J2" s="25" t="inlineStr">
        <is>
          <t>Functional</t>
        </is>
      </c>
      <c r="K2" s="25" t="inlineStr">
        <is>
          <t>E2E</t>
        </is>
      </c>
      <c r="L2" s="26" t="inlineStr">
        <is>
          <t>Pass</t>
        </is>
      </c>
      <c r="M2" s="26" t="inlineStr">
        <is>
          <t>Field MOTHER_NAME_21260D saved as Draft v1 (not in form metadata); after publish status Published and returned by GET /api/config/customer-fields for Individual — no deployment.</t>
        </is>
      </c>
      <c r="N2" s="26" t="inlineStr">
        <is>
          <t>Claude (automated test suite)</t>
        </is>
      </c>
      <c r="O2" s="27" t="n">
        <v>46310</v>
      </c>
      <c r="P2" s="26" t="n"/>
      <c r="Q2" s="26" t="inlineStr">
        <is>
          <t>Automated: FieldsTests.Create_draft_and_publish_without_deployment</t>
        </is>
      </c>
    </row>
    <row r="3" ht="43.25" customHeight="1" s="15">
      <c r="A3" s="25" t="inlineStr">
        <is>
          <t>TC-FLD-002</t>
        </is>
      </c>
      <c r="B3" s="25" t="inlineStr">
        <is>
          <t>Dynamic Customer Fields</t>
        </is>
      </c>
      <c r="C3" s="25" t="inlineStr">
        <is>
          <t>§4</t>
        </is>
      </c>
      <c r="D3" s="25" t="inlineStr">
        <is>
          <t>Publish a draft field without code deployment</t>
        </is>
      </c>
      <c r="E3" s="25" t="inlineStr">
        <is>
          <t>Draft field exists</t>
        </is>
      </c>
      <c r="F3" s="25" t="inlineStr">
        <is>
          <t>1. Open draft field
2. Click Publish
3. Approve if four-eyes is configured
4. Open an individual customer form</t>
        </is>
      </c>
      <c r="G3" s="25" t="inlineStr">
        <is>
          <t>MOTHER_NAME</t>
        </is>
      </c>
      <c r="H3" s="25" t="inlineStr">
        <is>
          <t>Field status Published; field renders on the individual form from API metadata with no frontend change</t>
        </is>
      </c>
      <c r="I3" s="25" t="inlineStr">
        <is>
          <t>P1</t>
        </is>
      </c>
      <c r="J3" s="25" t="inlineStr">
        <is>
          <t>Functional</t>
        </is>
      </c>
      <c r="K3" s="25" t="inlineStr">
        <is>
          <t>E2E</t>
        </is>
      </c>
      <c r="L3" s="26" t="inlineStr">
        <is>
          <t>Pass</t>
        </is>
      </c>
      <c r="M3" s="26" t="inlineStr">
        <is>
          <t>Field MOTHER_NAME_21260D saved as Draft v1 (not in form metadata); after publish status Published and returned by GET /api/config/customer-fields for Individual — no deployment.</t>
        </is>
      </c>
      <c r="N3" s="26" t="inlineStr">
        <is>
          <t>Claude (automated test suite)</t>
        </is>
      </c>
      <c r="O3" s="27" t="n">
        <v>46310</v>
      </c>
      <c r="P3" s="26" t="n"/>
      <c r="Q3" s="26" t="inlineStr">
        <is>
          <t>Automated: FieldsTests.Create_draft_and_publish_without_deployment</t>
        </is>
      </c>
    </row>
    <row r="4" ht="43.25" customHeight="1" s="15">
      <c r="A4" s="25" t="inlineStr">
        <is>
          <t>TC-FLD-003</t>
        </is>
      </c>
      <c r="B4" s="25" t="inlineStr">
        <is>
          <t>Dynamic Customer Fields</t>
        </is>
      </c>
      <c r="C4" s="25" t="inlineStr">
        <is>
          <t>§4</t>
        </is>
      </c>
      <c r="D4" s="25" t="inlineStr">
        <is>
          <t>Add 'Expected Monthly Cash Deposits' as required decimal for individuals</t>
        </is>
      </c>
      <c r="E4" s="25" t="inlineStr">
        <is>
          <t>Admin logged in</t>
        </is>
      </c>
      <c r="F4" s="25" t="inlineStr">
        <is>
          <t>1. Create field type=Decimal, required for Individual, group=Financial Profile, searchable=true, min=0
2. Publish
3. Create an individual customer without the field</t>
        </is>
      </c>
      <c r="G4" s="25" t="inlineStr">
        <is>
          <t>EXP_MONTHLY_CASH</t>
        </is>
      </c>
      <c r="H4" s="25" t="inlineStr">
        <is>
          <t>Save rejected with validation error naming the field; corporate customer form does not require it</t>
        </is>
      </c>
      <c r="I4" s="25" t="inlineStr">
        <is>
          <t>P1</t>
        </is>
      </c>
      <c r="J4" s="25" t="inlineStr">
        <is>
          <t>Functional</t>
        </is>
      </c>
      <c r="K4" s="25" t="inlineStr">
        <is>
          <t>E2E</t>
        </is>
      </c>
      <c r="L4" s="26" t="inlineStr">
        <is>
          <t>Pass</t>
        </is>
      </c>
      <c r="M4" s="26" t="inlineStr">
        <is>
          <t>POST /api/customers without EXP_CASH_123C7F → 400: EXP_CASH_123C7F label (EXP_CASH_123C7F) is required for Individual customers.</t>
        </is>
      </c>
      <c r="N4" s="26" t="inlineStr">
        <is>
          <t>Claude (automated test suite)</t>
        </is>
      </c>
      <c r="O4" s="27" t="n">
        <v>46310</v>
      </c>
      <c r="P4" s="26" t="n"/>
      <c r="Q4" s="26" t="inlineStr">
        <is>
          <t>Automated: FieldsTests.Required_decimal_enforced</t>
        </is>
      </c>
    </row>
    <row r="5" ht="22.35" customHeight="1" s="15">
      <c r="A5" s="25" t="inlineStr">
        <is>
          <t>TC-FLD-004</t>
        </is>
      </c>
      <c r="B5" s="25" t="inlineStr">
        <is>
          <t>Dynamic Customer Fields</t>
        </is>
      </c>
      <c r="C5" s="25" t="inlineStr">
        <is>
          <t>§4</t>
        </is>
      </c>
      <c r="D5" s="25" t="inlineStr">
        <is>
          <t>Field applicability by customer type</t>
        </is>
      </c>
      <c r="E5" s="25" t="inlineStr">
        <is>
          <t>Field applicable to Corporate only</t>
        </is>
      </c>
      <c r="F5" s="25" t="inlineStr">
        <is>
          <t>1. Open Individual form
2. Open Corporate form</t>
        </is>
      </c>
      <c r="G5" s="25" t="inlineStr">
        <is>
          <t>INCORP_REG_NO</t>
        </is>
      </c>
      <c r="H5" s="25" t="inlineStr">
        <is>
          <t>Field hidden on Individual, shown on Corporate</t>
        </is>
      </c>
      <c r="I5" s="25" t="inlineStr">
        <is>
          <t>P2</t>
        </is>
      </c>
      <c r="J5" s="25" t="inlineStr">
        <is>
          <t>Functional</t>
        </is>
      </c>
      <c r="K5" s="25" t="inlineStr">
        <is>
          <t>E2E</t>
        </is>
      </c>
      <c r="L5" s="26" t="inlineStr">
        <is>
          <t>Pass</t>
        </is>
      </c>
      <c r="M5" s="26" t="inlineStr">
        <is>
          <t>INCORP_REG_NO absent from Individual metadata, present for Corporate; API rejects it for an Individual (400).</t>
        </is>
      </c>
      <c r="N5" s="26" t="inlineStr">
        <is>
          <t>Claude (automated test suite)</t>
        </is>
      </c>
      <c r="O5" s="27" t="n">
        <v>46310</v>
      </c>
      <c r="P5" s="26" t="n"/>
      <c r="Q5" s="26" t="inlineStr">
        <is>
          <t>Automated: FieldsTests.Applicability_by_type</t>
        </is>
      </c>
    </row>
    <row r="6" ht="22.35" customHeight="1" s="15">
      <c r="A6" s="25" t="inlineStr">
        <is>
          <t>TC-FLD-005</t>
        </is>
      </c>
      <c r="B6" s="25" t="inlineStr">
        <is>
          <t>Dynamic Customer Fields</t>
        </is>
      </c>
      <c r="C6" s="25" t="inlineStr">
        <is>
          <t>§4</t>
        </is>
      </c>
      <c r="D6" s="25" t="inlineStr">
        <is>
          <t>Server-side validation of decimal type</t>
        </is>
      </c>
      <c r="E6" s="25" t="inlineStr">
        <is>
          <t>Decimal field published</t>
        </is>
      </c>
      <c r="F6" s="25" t="inlineStr">
        <is>
          <t>1. Call PUT /api/customers/{id}/attributes with a text value bypassing UI</t>
        </is>
      </c>
      <c r="G6" s="25" t="inlineStr">
        <is>
          <t>value="abc"</t>
        </is>
      </c>
      <c r="H6" s="25" t="inlineStr">
        <is>
          <t>HTTP 400 problem-details with field code and message; value not persisted</t>
        </is>
      </c>
      <c r="I6" s="25" t="inlineStr">
        <is>
          <t>P1</t>
        </is>
      </c>
      <c r="J6" s="25" t="inlineStr">
        <is>
          <t>Negative</t>
        </is>
      </c>
      <c r="K6" s="25" t="inlineStr">
        <is>
          <t>API</t>
        </is>
      </c>
      <c r="L6" s="26" t="inlineStr">
        <is>
          <t>Pass</t>
        </is>
      </c>
      <c r="M6" s="26" t="inlineStr">
        <is>
          <t>400 problem-details: DEC_46462F label (DEC_46462F): value must be a decimal number.; 0 values stored.</t>
        </is>
      </c>
      <c r="N6" s="26" t="inlineStr">
        <is>
          <t>Claude (automated test suite)</t>
        </is>
      </c>
      <c r="O6" s="27" t="n">
        <v>46310</v>
      </c>
      <c r="P6" s="26" t="n"/>
      <c r="Q6" s="26" t="inlineStr">
        <is>
          <t>Automated: FieldsTests.Decimal_rejects_text</t>
        </is>
      </c>
    </row>
    <row r="7" ht="15" customHeight="1" s="15">
      <c r="A7" s="25" t="inlineStr">
        <is>
          <t>TC-FLD-006</t>
        </is>
      </c>
      <c r="B7" s="25" t="inlineStr">
        <is>
          <t>Dynamic Customer Fields</t>
        </is>
      </c>
      <c r="C7" s="25" t="inlineStr">
        <is>
          <t>§4</t>
        </is>
      </c>
      <c r="D7" s="25" t="inlineStr">
        <is>
          <t>Server-side validation of regex rule</t>
        </is>
      </c>
      <c r="E7" s="25" t="inlineStr">
        <is>
          <t>Identifier field with regex ^[0-9]{10}$</t>
        </is>
      </c>
      <c r="F7" s="25" t="inlineStr">
        <is>
          <t>1. Submit value with 9 digits via API</t>
        </is>
      </c>
      <c r="G7" s="25" t="inlineStr">
        <is>
          <t>123456789</t>
        </is>
      </c>
      <c r="H7" s="25" t="inlineStr">
        <is>
          <t>HTTP 400; no value stored</t>
        </is>
      </c>
      <c r="I7" s="25" t="inlineStr">
        <is>
          <t>P2</t>
        </is>
      </c>
      <c r="J7" s="25" t="inlineStr">
        <is>
          <t>Negative</t>
        </is>
      </c>
      <c r="K7" s="25" t="inlineStr">
        <is>
          <t>API</t>
        </is>
      </c>
      <c r="L7" s="26" t="inlineStr">
        <is>
          <t>Pass</t>
        </is>
      </c>
      <c r="M7" s="26" t="inlineStr">
        <is>
          <t>SECONDARY_ID with 9 digits rejected (400) against ^[0-9]{10}$; no value stored.</t>
        </is>
      </c>
      <c r="N7" s="26" t="inlineStr">
        <is>
          <t>Claude (automated test suite)</t>
        </is>
      </c>
      <c r="O7" s="27" t="n">
        <v>46310</v>
      </c>
      <c r="P7" s="26" t="n"/>
      <c r="Q7" s="26" t="inlineStr">
        <is>
          <t>Automated: FieldsTests.Regex_validated</t>
        </is>
      </c>
    </row>
    <row r="8" ht="22.35" customHeight="1" s="15">
      <c r="A8" s="25" t="inlineStr">
        <is>
          <t>TC-FLD-007</t>
        </is>
      </c>
      <c r="B8" s="25" t="inlineStr">
        <is>
          <t>Dynamic Customer Fields</t>
        </is>
      </c>
      <c r="C8" s="25" t="inlineStr">
        <is>
          <t>§4</t>
        </is>
      </c>
      <c r="D8" s="25" t="inlineStr">
        <is>
          <t>Single-select accepts only active options</t>
        </is>
      </c>
      <c r="E8" s="25" t="inlineStr">
        <is>
          <t>Field with options A,B; option B inactive</t>
        </is>
      </c>
      <c r="F8" s="25" t="inlineStr">
        <is>
          <t>1. Submit value B via API</t>
        </is>
      </c>
      <c r="G8" s="25" t="inlineStr">
        <is>
          <t>B</t>
        </is>
      </c>
      <c r="H8" s="25" t="inlineStr">
        <is>
          <t>Rejected as invalid option</t>
        </is>
      </c>
      <c r="I8" s="25" t="inlineStr">
        <is>
          <t>P2</t>
        </is>
      </c>
      <c r="J8" s="25" t="inlineStr">
        <is>
          <t>Negative</t>
        </is>
      </c>
      <c r="K8" s="25" t="inlineStr">
        <is>
          <t>API</t>
        </is>
      </c>
      <c r="L8" s="26" t="inlineStr">
        <is>
          <t>Pass</t>
        </is>
      </c>
      <c r="M8" s="26" t="inlineStr">
        <is>
          <t>Inactive option B rejected (400); active option A accepted.</t>
        </is>
      </c>
      <c r="N8" s="26" t="inlineStr">
        <is>
          <t>Claude (automated test suite)</t>
        </is>
      </c>
      <c r="O8" s="27" t="n">
        <v>46310</v>
      </c>
      <c r="P8" s="26" t="n"/>
      <c r="Q8" s="26" t="inlineStr">
        <is>
          <t>Automated: FieldsTests.Single_select_active_options_only</t>
        </is>
      </c>
    </row>
    <row r="9" ht="32.8" customHeight="1" s="15">
      <c r="A9" s="25" t="inlineStr">
        <is>
          <t>TC-FLD-008</t>
        </is>
      </c>
      <c r="B9" s="25" t="inlineStr">
        <is>
          <t>Dynamic Customer Fields</t>
        </is>
      </c>
      <c r="C9" s="25" t="inlineStr">
        <is>
          <t>§4</t>
        </is>
      </c>
      <c r="D9" s="25" t="inlineStr">
        <is>
          <t>Multi-select stores multiple values</t>
        </is>
      </c>
      <c r="E9" s="25" t="inlineStr">
        <is>
          <t>Multi-select field published</t>
        </is>
      </c>
      <c r="F9" s="25" t="inlineStr">
        <is>
          <t>1. Select 3 options
2. Save
3. Reload profile</t>
        </is>
      </c>
      <c r="G9" s="25" t="inlineStr">
        <is>
          <t>A,C,D</t>
        </is>
      </c>
      <c r="H9" s="25" t="inlineStr">
        <is>
          <t>All 3 values persisted and displayed in sort order</t>
        </is>
      </c>
      <c r="I9" s="25" t="inlineStr">
        <is>
          <t>P3</t>
        </is>
      </c>
      <c r="J9" s="25" t="inlineStr">
        <is>
          <t>Functional</t>
        </is>
      </c>
      <c r="K9" s="25" t="inlineStr">
        <is>
          <t>E2E</t>
        </is>
      </c>
      <c r="L9" s="26" t="inlineStr">
        <is>
          <t>Pass</t>
        </is>
      </c>
      <c r="M9" s="26" t="inlineStr">
        <is>
          <t>Submitted [D,A,C]; reloaded display 'A,C,D' (option sort order).</t>
        </is>
      </c>
      <c r="N9" s="26" t="inlineStr">
        <is>
          <t>Claude (automated test suite)</t>
        </is>
      </c>
      <c r="O9" s="27" t="n">
        <v>46310</v>
      </c>
      <c r="P9" s="26" t="n"/>
      <c r="Q9" s="26" t="inlineStr">
        <is>
          <t>Automated: FieldsTests.Multi_select_persisted_sorted</t>
        </is>
      </c>
    </row>
    <row r="10" ht="32.8" customHeight="1" s="15">
      <c r="A10" s="25" t="inlineStr">
        <is>
          <t>TC-FLD-009</t>
        </is>
      </c>
      <c r="B10" s="25" t="inlineStr">
        <is>
          <t>Dynamic Customer Fields</t>
        </is>
      </c>
      <c r="C10" s="25" t="inlineStr">
        <is>
          <t>§4</t>
        </is>
      </c>
      <c r="D10" s="25" t="inlineStr">
        <is>
          <t>Effective-dated field values</t>
        </is>
      </c>
      <c r="E10" s="25" t="inlineStr">
        <is>
          <t>Field with effective dates</t>
        </is>
      </c>
      <c r="F10" s="25" t="inlineStr">
        <is>
          <t>1. Set value V1 effective 2026-01-01
2. Set V2 effective 2026-06-01
3. Query value as of 2026-03-01 and today</t>
        </is>
      </c>
      <c r="G10" s="25" t="inlineStr">
        <is>
          <t>V1,V2</t>
        </is>
      </c>
      <c r="H10" s="25" t="inlineStr">
        <is>
          <t>As-of query returns V1; current returns V2</t>
        </is>
      </c>
      <c r="I10" s="25" t="inlineStr">
        <is>
          <t>P2</t>
        </is>
      </c>
      <c r="J10" s="25" t="inlineStr">
        <is>
          <t>Functional</t>
        </is>
      </c>
      <c r="K10" s="25" t="inlineStr">
        <is>
          <t>Integration</t>
        </is>
      </c>
      <c r="L10" s="26" t="inlineStr">
        <is>
          <t>Pass</t>
        </is>
      </c>
      <c r="M10" s="26" t="inlineStr">
        <is>
          <t>As of 2026-03-01 → 'ar' (V1); current → 'en' (V2).</t>
        </is>
      </c>
      <c r="N10" s="26" t="inlineStr">
        <is>
          <t>Claude (automated test suite)</t>
        </is>
      </c>
      <c r="O10" s="27" t="n">
        <v>46310</v>
      </c>
      <c r="P10" s="26" t="n"/>
      <c r="Q10" s="26" t="inlineStr">
        <is>
          <t>Automated: FieldsTests.Effective_dated_values</t>
        </is>
      </c>
    </row>
    <row r="11" ht="15" customHeight="1" s="15">
      <c r="A11" s="25" t="inlineStr">
        <is>
          <t>TC-FLD-010</t>
        </is>
      </c>
      <c r="B11" s="25" t="inlineStr">
        <is>
          <t>Dynamic Customer Fields</t>
        </is>
      </c>
      <c r="C11" s="25" t="inlineStr">
        <is>
          <t>§4</t>
        </is>
      </c>
      <c r="D11" s="25" t="inlineStr">
        <is>
          <t>Field change history recorded</t>
        </is>
      </c>
      <c r="E11" s="25" t="inlineStr">
        <is>
          <t>Customer with value</t>
        </is>
      </c>
      <c r="F11" s="25" t="inlineStr">
        <is>
          <t>1. Change value with reason</t>
        </is>
      </c>
      <c r="G11" s="25" t="inlineStr">
        <is>
          <t>old=5000,new=9000</t>
        </is>
      </c>
      <c r="H11" s="25" t="inlineStr">
        <is>
          <t>History row with old, new, actor, UTC timestamp, reason</t>
        </is>
      </c>
      <c r="I11" s="25" t="inlineStr">
        <is>
          <t>P1</t>
        </is>
      </c>
      <c r="J11" s="25" t="inlineStr">
        <is>
          <t>Functional</t>
        </is>
      </c>
      <c r="K11" s="25" t="inlineStr">
        <is>
          <t>Integration</t>
        </is>
      </c>
      <c r="L11" s="26" t="inlineStr">
        <is>
          <t>Pass</t>
        </is>
      </c>
      <c r="M11" s="26" t="inlineStr">
        <is>
          <t>History row: old=5000 new=9000 actor=manager at 2026-10-14T23:59:42.558033Z (UTC) reason='customer update'.</t>
        </is>
      </c>
      <c r="N11" s="26" t="inlineStr">
        <is>
          <t>Claude (automated test suite)</t>
        </is>
      </c>
      <c r="O11" s="27" t="n">
        <v>46310</v>
      </c>
      <c r="P11" s="26" t="n"/>
      <c r="Q11" s="26" t="inlineStr">
        <is>
          <t>Automated: FieldsTests.Change_history</t>
        </is>
      </c>
    </row>
    <row r="12" ht="22.35" customHeight="1" s="15">
      <c r="A12" s="25" t="inlineStr">
        <is>
          <t>TC-FLD-011</t>
        </is>
      </c>
      <c r="B12" s="25" t="inlineStr">
        <is>
          <t>Dynamic Customer Fields</t>
        </is>
      </c>
      <c r="C12" s="25" t="inlineStr">
        <is>
          <t>§4</t>
        </is>
      </c>
      <c r="D12" s="25" t="inlineStr">
        <is>
          <t>Incompatible type change blocked</t>
        </is>
      </c>
      <c r="E12" s="25" t="inlineStr">
        <is>
          <t>Field with stored decimal values</t>
        </is>
      </c>
      <c r="F12" s="25" t="inlineStr">
        <is>
          <t>1. Edit field type to Boolean
2. Publish</t>
        </is>
      </c>
      <c r="G12" s="25" t="inlineStr">
        <is>
          <t>type change</t>
        </is>
      </c>
      <c r="H12" s="25" t="inlineStr">
        <is>
          <t>Publish blocked with message listing affected values; existing values unchanged</t>
        </is>
      </c>
      <c r="I12" s="25" t="inlineStr">
        <is>
          <t>P1</t>
        </is>
      </c>
      <c r="J12" s="25" t="inlineStr">
        <is>
          <t>Negative</t>
        </is>
      </c>
      <c r="K12" s="25" t="inlineStr">
        <is>
          <t>Integration</t>
        </is>
      </c>
      <c r="L12" s="26" t="inlineStr">
        <is>
          <t>Pass</t>
        </is>
      </c>
      <c r="M12" s="26" t="inlineStr">
        <is>
          <t>Publish blocked (409): Publish blocked: Type change Decimal -&gt; Boolean is incompatible with 1 stored value(s) (customers: 49).; stored value 12.5 unchanged.</t>
        </is>
      </c>
      <c r="N12" s="26" t="inlineStr">
        <is>
          <t>Claude (automated test suite)</t>
        </is>
      </c>
      <c r="O12" s="27" t="n">
        <v>46310</v>
      </c>
      <c r="P12" s="26" t="n"/>
      <c r="Q12" s="26" t="inlineStr">
        <is>
          <t>Automated: FieldsTests.Incompatible_type_change_blocked</t>
        </is>
      </c>
    </row>
    <row r="13" ht="22.35" customHeight="1" s="15">
      <c r="A13" s="25" t="inlineStr">
        <is>
          <t>TC-FLD-012</t>
        </is>
      </c>
      <c r="B13" s="25" t="inlineStr">
        <is>
          <t>Dynamic Customer Fields</t>
        </is>
      </c>
      <c r="C13" s="25" t="inlineStr">
        <is>
          <t>§4</t>
        </is>
      </c>
      <c r="D13" s="25" t="inlineStr">
        <is>
          <t>Deactivate field preserves history</t>
        </is>
      </c>
      <c r="E13" s="25" t="inlineStr">
        <is>
          <t>Field with values</t>
        </is>
      </c>
      <c r="F13" s="25" t="inlineStr">
        <is>
          <t>1. Deactivate field
2. Open customer audit/history</t>
        </is>
      </c>
      <c r="G13" s="25" t="inlineStr">
        <is>
          <t>—</t>
        </is>
      </c>
      <c r="H13" s="25" t="inlineStr">
        <is>
          <t>Field hidden on forms; historical values still visible in history</t>
        </is>
      </c>
      <c r="I13" s="25" t="inlineStr">
        <is>
          <t>P2</t>
        </is>
      </c>
      <c r="J13" s="25" t="inlineStr">
        <is>
          <t>Functional</t>
        </is>
      </c>
      <c r="K13" s="25" t="inlineStr">
        <is>
          <t>E2E</t>
        </is>
      </c>
      <c r="L13" s="26" t="inlineStr">
        <is>
          <t>Pass</t>
        </is>
      </c>
      <c r="M13" s="26" t="inlineStr">
        <is>
          <t>After deactivation the field is absent from form metadata; history still returns the stored value 'hello'.</t>
        </is>
      </c>
      <c r="N13" s="26" t="inlineStr">
        <is>
          <t>Claude (automated test suite)</t>
        </is>
      </c>
      <c r="O13" s="27" t="n">
        <v>46310</v>
      </c>
      <c r="P13" s="26" t="n"/>
      <c r="Q13" s="26" t="inlineStr">
        <is>
          <t>Automated: FieldsTests.Deactivate_preserves_history</t>
        </is>
      </c>
    </row>
    <row r="14" ht="22.35" customHeight="1" s="15">
      <c r="A14" s="25" t="inlineStr">
        <is>
          <t>TC-FLD-013</t>
        </is>
      </c>
      <c r="B14" s="25" t="inlineStr">
        <is>
          <t>Dynamic Customer Fields</t>
        </is>
      </c>
      <c r="C14" s="25" t="inlineStr">
        <is>
          <t>§4</t>
        </is>
      </c>
      <c r="D14" s="25" t="inlineStr">
        <is>
          <t>Searchable dynamic field is filterable</t>
        </is>
      </c>
      <c r="E14" s="25" t="inlineStr">
        <is>
          <t>Searchable field published</t>
        </is>
      </c>
      <c r="F14" s="25" t="inlineStr">
        <is>
          <t>1. Search customers by field value</t>
        </is>
      </c>
      <c r="G14" s="25" t="inlineStr">
        <is>
          <t>EXP_MONTHLY_CASH &gt; 10000</t>
        </is>
      </c>
      <c r="H14" s="25" t="inlineStr">
        <is>
          <t>Correct customers returned with server-side paging; query uses index (check plan)</t>
        </is>
      </c>
      <c r="I14" s="25" t="inlineStr">
        <is>
          <t>P2</t>
        </is>
      </c>
      <c r="J14" s="25" t="inlineStr">
        <is>
          <t>Functional</t>
        </is>
      </c>
      <c r="K14" s="25" t="inlineStr">
        <is>
          <t>Integration</t>
        </is>
      </c>
      <c r="L14" s="26" t="inlineStr">
        <is>
          <t>Pass</t>
        </is>
      </c>
      <c r="M14" s="26" t="inlineStr">
        <is>
          <t>Filter EXPCASH_0858D5&gt;10000 returned only the 15000 customer (totalCount 1, page 1/size 10); index IX_FieldValues_Code_Number(FieldCode, ValueNumber) supports the predicate; no search tokens in response.</t>
        </is>
      </c>
      <c r="N14" s="26" t="inlineStr">
        <is>
          <t>Claude (automated test suite)</t>
        </is>
      </c>
      <c r="O14" s="27" t="n">
        <v>46310</v>
      </c>
      <c r="P14" s="26" t="n"/>
      <c r="Q14" s="26" t="inlineStr">
        <is>
          <t>Automated: FieldsTests.Searchable_field_filter_paged_and_indexed</t>
        </is>
      </c>
    </row>
    <row r="15" ht="15" customHeight="1" s="15">
      <c r="A15" s="25" t="inlineStr">
        <is>
          <t>TC-FLD-014</t>
        </is>
      </c>
      <c r="B15" s="25" t="inlineStr">
        <is>
          <t>Dynamic Customer Fields</t>
        </is>
      </c>
      <c r="C15" s="25" t="inlineStr">
        <is>
          <t>§4</t>
        </is>
      </c>
      <c r="D15" s="25" t="inlineStr">
        <is>
          <t>Non-searchable field not offered in filters</t>
        </is>
      </c>
      <c r="E15" s="25" t="inlineStr">
        <is>
          <t>Field searchable=false</t>
        </is>
      </c>
      <c r="F15" s="25" t="inlineStr">
        <is>
          <t>1. Open customer list filter panel</t>
        </is>
      </c>
      <c r="G15" s="25" t="inlineStr">
        <is>
          <t>—</t>
        </is>
      </c>
      <c r="H15" s="25" t="inlineStr">
        <is>
          <t>Field not listed as filter</t>
        </is>
      </c>
      <c r="I15" s="25" t="inlineStr">
        <is>
          <t>P3</t>
        </is>
      </c>
      <c r="J15" s="25" t="inlineStr">
        <is>
          <t>UI</t>
        </is>
      </c>
      <c r="K15" s="25" t="inlineStr">
        <is>
          <t>E2E</t>
        </is>
      </c>
      <c r="L15" s="26" t="inlineStr">
        <is>
          <t>Pass</t>
        </is>
      </c>
      <c r="M15" s="26" t="inlineStr">
        <is>
          <t>Metadata marks the field isFilterable=false (UI excludes it from filters); a direct filter request is rejected with 400.</t>
        </is>
      </c>
      <c r="N15" s="26" t="inlineStr">
        <is>
          <t>Claude (automated test suite)</t>
        </is>
      </c>
      <c r="O15" s="27" t="n">
        <v>46310</v>
      </c>
      <c r="P15" s="26" t="n"/>
      <c r="Q15" s="26" t="inlineStr">
        <is>
          <t>Automated: FieldsTests.Non_searchable_field_rejected_in_filter</t>
        </is>
      </c>
    </row>
    <row r="16" ht="22.35" customHeight="1" s="15">
      <c r="A16" s="25" t="inlineStr">
        <is>
          <t>TC-FLD-015</t>
        </is>
      </c>
      <c r="B16" s="25" t="inlineStr">
        <is>
          <t>Dynamic Customer Fields</t>
        </is>
      </c>
      <c r="C16" s="25" t="inlineStr">
        <is>
          <t>§4</t>
        </is>
      </c>
      <c r="D16" s="25" t="inlineStr">
        <is>
          <t>Sensitive field masked by permission</t>
        </is>
      </c>
      <c r="E16" s="25" t="inlineStr">
        <is>
          <t>Field sensitive=true; user without unmask permission</t>
        </is>
      </c>
      <c r="F16" s="25" t="inlineStr">
        <is>
          <t>1. Open profile</t>
        </is>
      </c>
      <c r="G16" s="25" t="inlineStr">
        <is>
          <t>—</t>
        </is>
      </c>
      <c r="H16" s="25" t="inlineStr">
        <is>
          <t>Value masked (e.g. ****1234); API returns masked value</t>
        </is>
      </c>
      <c r="I16" s="25" t="inlineStr">
        <is>
          <t>P1</t>
        </is>
      </c>
      <c r="J16" s="25" t="inlineStr">
        <is>
          <t>Security</t>
        </is>
      </c>
      <c r="K16" s="25" t="inlineStr">
        <is>
          <t>API</t>
        </is>
      </c>
      <c r="L16" s="26" t="inlineStr">
        <is>
          <t>Pass</t>
        </is>
      </c>
      <c r="M16" s="26" t="inlineStr">
        <is>
          <t>Operations user sees '******3210' (masked); manager with unmask permission sees '9876543210'.</t>
        </is>
      </c>
      <c r="N16" s="26" t="inlineStr">
        <is>
          <t>Claude (automated test suite)</t>
        </is>
      </c>
      <c r="O16" s="27" t="n">
        <v>46310</v>
      </c>
      <c r="P16" s="26" t="n"/>
      <c r="Q16" s="26" t="inlineStr">
        <is>
          <t>Automated: FieldsTests.Sensitive_masked_without_permission</t>
        </is>
      </c>
    </row>
    <row r="17" ht="22.35" customHeight="1" s="15">
      <c r="A17" s="25" t="inlineStr">
        <is>
          <t>TC-FLD-016</t>
        </is>
      </c>
      <c r="B17" s="25" t="inlineStr">
        <is>
          <t>Dynamic Customer Fields</t>
        </is>
      </c>
      <c r="C17" s="25" t="inlineStr">
        <is>
          <t>§4</t>
        </is>
      </c>
      <c r="D17" s="25" t="inlineStr">
        <is>
          <t>Encrypted field not stored in plaintext</t>
        </is>
      </c>
      <c r="E17" s="25" t="inlineStr">
        <is>
          <t>Field encrypted=true</t>
        </is>
      </c>
      <c r="F17" s="25" t="inlineStr">
        <is>
          <t>1. Save value
2. Query DB column directly</t>
        </is>
      </c>
      <c r="G17" s="25" t="inlineStr">
        <is>
          <t>9876543210</t>
        </is>
      </c>
      <c r="H17" s="25" t="inlineStr">
        <is>
          <t>DB contains ciphertext only; no plaintext or unkeyed hash</t>
        </is>
      </c>
      <c r="I17" s="25" t="inlineStr">
        <is>
          <t>P1</t>
        </is>
      </c>
      <c r="J17" s="25" t="inlineStr">
        <is>
          <t>Security</t>
        </is>
      </c>
      <c r="K17" s="25" t="inlineStr">
        <is>
          <t>Integration</t>
        </is>
      </c>
      <c r="L17" s="26" t="inlineStr">
        <is>
          <t>Pass</t>
        </is>
      </c>
      <c r="M17" s="26" t="inlineStr">
        <is>
          <t>DB row stores AES-GCM ciphertext (64 bytes) and keyed HMAC token only; no plaintext/unkeyed hash of 9876543210 in any column.</t>
        </is>
      </c>
      <c r="N17" s="26" t="inlineStr">
        <is>
          <t>Claude (automated test suite)</t>
        </is>
      </c>
      <c r="O17" s="27" t="n">
        <v>46310</v>
      </c>
      <c r="P17" s="26" t="n"/>
      <c r="Q17" s="26" t="inlineStr">
        <is>
          <t>Automated: FieldsTests.Encrypted_not_plaintext</t>
        </is>
      </c>
    </row>
    <row r="18" ht="22.35" customHeight="1" s="15">
      <c r="A18" s="25" t="inlineStr">
        <is>
          <t>TC-FLD-017</t>
        </is>
      </c>
      <c r="B18" s="25" t="inlineStr">
        <is>
          <t>Dynamic Customer Fields</t>
        </is>
      </c>
      <c r="C18" s="25" t="inlineStr">
        <is>
          <t>§4</t>
        </is>
      </c>
      <c r="D18" s="25" t="inlineStr">
        <is>
          <t>Form layout per role</t>
        </is>
      </c>
      <c r="E18" s="25" t="inlineStr">
        <is>
          <t>Two layouts for Compliance Officer and Operations User</t>
        </is>
      </c>
      <c r="F18" s="25" t="inlineStr">
        <is>
          <t>1. Login as each role
2. open same customer</t>
        </is>
      </c>
      <c r="G18" s="25" t="inlineStr">
        <is>
          <t>—</t>
        </is>
      </c>
      <c r="H18" s="25" t="inlineStr">
        <is>
          <t>Field placement follows role layout</t>
        </is>
      </c>
      <c r="I18" s="25" t="inlineStr">
        <is>
          <t>P3</t>
        </is>
      </c>
      <c r="J18" s="25" t="inlineStr">
        <is>
          <t>Functional</t>
        </is>
      </c>
      <c r="K18" s="25" t="inlineStr">
        <is>
          <t>E2E</t>
        </is>
      </c>
      <c r="L18" s="26" t="inlineStr">
        <is>
          <t>Pass</t>
        </is>
      </c>
      <c r="M18" s="26" t="inlineStr">
        <is>
          <t>Officer layout '*' vs Operations layout 'OperationsUser' with different group placement; groups returned in configured sort order.</t>
        </is>
      </c>
      <c r="N18" s="26" t="inlineStr">
        <is>
          <t>Claude (automated test suite)</t>
        </is>
      </c>
      <c r="O18" s="27" t="n">
        <v>46310</v>
      </c>
      <c r="P18" s="26" t="n"/>
      <c r="Q18" s="26" t="inlineStr">
        <is>
          <t>Automated: FieldsTests.Layout_per_role</t>
        </is>
      </c>
    </row>
    <row r="19" ht="22.35" customHeight="1" s="15">
      <c r="A19" s="25" t="inlineStr">
        <is>
          <t>TC-FLD-018</t>
        </is>
      </c>
      <c r="B19" s="25" t="inlineStr">
        <is>
          <t>Dynamic Customer Fields</t>
        </is>
      </c>
      <c r="C19" s="25" t="inlineStr">
        <is>
          <t>§4</t>
        </is>
      </c>
      <c r="D19" s="25" t="inlineStr">
        <is>
          <t>No DB column created per custom field</t>
        </is>
      </c>
      <c r="E19" s="25" t="inlineStr">
        <is>
          <t>Publish 5 new fields</t>
        </is>
      </c>
      <c r="F19" s="25" t="inlineStr">
        <is>
          <t>1. Inspect schema migrations and tables</t>
        </is>
      </c>
      <c r="G19" s="25" t="inlineStr">
        <is>
          <t>—</t>
        </is>
      </c>
      <c r="H19" s="25" t="inlineStr">
        <is>
          <t>No ALTER TABLE adding columns; values in typed EAV table</t>
        </is>
      </c>
      <c r="I19" s="25" t="inlineStr">
        <is>
          <t>P2</t>
        </is>
      </c>
      <c r="J19" s="25" t="inlineStr">
        <is>
          <t>Data</t>
        </is>
      </c>
      <c r="K19" s="25" t="inlineStr">
        <is>
          <t>Integration</t>
        </is>
      </c>
      <c r="L19" s="26" t="inlineStr">
        <is>
          <t>Pass</t>
        </is>
      </c>
      <c r="M19" s="26" t="inlineStr">
        <is>
          <t>Published 5 fields; Customers table column count unchanged (30); values stored in typed EAV table CustomerFieldValues; 4 migration files contain no per-field ALTER TABLE.</t>
        </is>
      </c>
      <c r="N19" s="26" t="inlineStr">
        <is>
          <t>Claude (automated test suite)</t>
        </is>
      </c>
      <c r="O19" s="27" t="n">
        <v>46310</v>
      </c>
      <c r="P19" s="26" t="n"/>
      <c r="Q19" s="26" t="inlineStr">
        <is>
          <t>Automated: FieldsTests.No_column_per_field</t>
        </is>
      </c>
    </row>
    <row r="20" ht="22.35" customHeight="1" s="15">
      <c r="A20" s="25" t="inlineStr">
        <is>
          <t>TC-CUS-001</t>
        </is>
      </c>
      <c r="B20" s="25" t="inlineStr">
        <is>
          <t>Customer Profile &amp; Search</t>
        </is>
      </c>
      <c r="C20" s="25" t="inlineStr">
        <is>
          <t>§6–7</t>
        </is>
      </c>
      <c r="D20" s="25" t="inlineStr">
        <is>
          <t>Customer list server-side pagination</t>
        </is>
      </c>
      <c r="E20" s="25" t="inlineStr">
        <is>
          <t>500 seeded customers</t>
        </is>
      </c>
      <c r="F20" s="25" t="inlineStr">
        <is>
          <t>1. Open list
2. Navigate to page 5 with page size 50</t>
        </is>
      </c>
      <c r="G20" s="25" t="inlineStr">
        <is>
          <t>—</t>
        </is>
      </c>
      <c r="H20" s="25" t="inlineStr">
        <is>
          <t>API called with page params; only 50 rows returned; total count correct</t>
        </is>
      </c>
      <c r="I20" s="25" t="inlineStr">
        <is>
          <t>P2</t>
        </is>
      </c>
      <c r="J20" s="25" t="inlineStr">
        <is>
          <t>Functional</t>
        </is>
      </c>
      <c r="K20" s="25" t="inlineStr">
        <is>
          <t>API</t>
        </is>
      </c>
      <c r="L20" s="26" t="inlineStr">
        <is>
          <t>Pass</t>
        </is>
      </c>
      <c r="M20" s="26" t="inlineStr">
        <is>
          <t>Page 5 size 50 → 50 rows, total 500; oversized pageSize capped at 200.</t>
        </is>
      </c>
      <c r="N20" s="26" t="inlineStr">
        <is>
          <t>Claude (automated test suite)</t>
        </is>
      </c>
      <c r="O20" s="27" t="n">
        <v>46310</v>
      </c>
      <c r="P20" s="26" t="n"/>
      <c r="Q20" s="26" t="inlineStr">
        <is>
          <t>Automated: CustomerTests.Server_side_pagination_500</t>
        </is>
      </c>
    </row>
    <row r="21" ht="22.35" customHeight="1" s="15">
      <c r="A21" s="25" t="inlineStr">
        <is>
          <t>TC-CUS-002</t>
        </is>
      </c>
      <c r="B21" s="25" t="inlineStr">
        <is>
          <t>Customer Profile &amp; Search</t>
        </is>
      </c>
      <c r="C21" s="25" t="inlineStr">
        <is>
          <t>§6–7</t>
        </is>
      </c>
      <c r="D21" s="25" t="inlineStr">
        <is>
          <t>Search by external customer ID</t>
        </is>
      </c>
      <c r="E21" s="25" t="inlineStr">
        <is>
          <t>Customer with source=CORE, extId=C-1001</t>
        </is>
      </c>
      <c r="F21" s="25" t="inlineStr">
        <is>
          <t>1. Search C-1001</t>
        </is>
      </c>
      <c r="G21" s="25" t="inlineStr">
        <is>
          <t>C-1001</t>
        </is>
      </c>
      <c r="H21" s="25" t="inlineStr">
        <is>
          <t>Exact customer returned</t>
        </is>
      </c>
      <c r="I21" s="25" t="inlineStr">
        <is>
          <t>P1</t>
        </is>
      </c>
      <c r="J21" s="25" t="inlineStr">
        <is>
          <t>Functional</t>
        </is>
      </c>
      <c r="K21" s="25" t="inlineStr">
        <is>
          <t>E2E</t>
        </is>
      </c>
      <c r="L21" s="26" t="inlineStr">
        <is>
          <t>Pass</t>
        </is>
      </c>
      <c r="M21" s="26" t="inlineStr">
        <is>
          <t>Search 'C-1001-cea0f34c5e7e' returned exactly customer 561.</t>
        </is>
      </c>
      <c r="N21" s="26" t="inlineStr">
        <is>
          <t>Claude (automated test suite)</t>
        </is>
      </c>
      <c r="O21" s="27" t="n">
        <v>46310</v>
      </c>
      <c r="P21" s="26" t="n"/>
      <c r="Q21" s="26" t="inlineStr">
        <is>
          <t>Automated: CustomerTests.Search_by_external_id</t>
        </is>
      </c>
    </row>
    <row r="22" ht="22.35" customHeight="1" s="15">
      <c r="A22" s="25" t="inlineStr">
        <is>
          <t>TC-CUS-003</t>
        </is>
      </c>
      <c r="B22" s="25" t="inlineStr">
        <is>
          <t>Customer Profile &amp; Search</t>
        </is>
      </c>
      <c r="C22" s="25" t="inlineStr">
        <is>
          <t>§6–7</t>
        </is>
      </c>
      <c r="D22" s="25" t="inlineStr">
        <is>
          <t>Search by identity number uses HMAC token</t>
        </is>
      </c>
      <c r="E22" s="25" t="inlineStr">
        <is>
          <t>Customer with encrypted national ID</t>
        </is>
      </c>
      <c r="F22" s="25" t="inlineStr">
        <is>
          <t>1. Search by full national ID</t>
        </is>
      </c>
      <c r="G22" s="25" t="inlineStr">
        <is>
          <t>9981012345</t>
        </is>
      </c>
      <c r="H22" s="25" t="inlineStr">
        <is>
          <t>Customer found; request/response/logs do not contain the token or plaintext ID</t>
        </is>
      </c>
      <c r="I22" s="25" t="inlineStr">
        <is>
          <t>P1</t>
        </is>
      </c>
      <c r="J22" s="25" t="inlineStr">
        <is>
          <t>Security</t>
        </is>
      </c>
      <c r="K22" s="25" t="inlineStr">
        <is>
          <t>API</t>
        </is>
      </c>
      <c r="L22" s="26" t="inlineStr">
        <is>
          <t>Pass</t>
        </is>
      </c>
      <c r="M22" s="26" t="inlineStr">
        <is>
          <t>Found via POST body (not URL); response has masked ID only; HMAC token and plaintext absent from response and logs.</t>
        </is>
      </c>
      <c r="N22" s="26" t="inlineStr">
        <is>
          <t>Claude (automated test suite)</t>
        </is>
      </c>
      <c r="O22" s="27" t="n">
        <v>46310</v>
      </c>
      <c r="P22" s="26" t="n"/>
      <c r="Q22" s="26" t="inlineStr">
        <is>
          <t>Automated: CustomerTests.Search_by_identity_hmac</t>
        </is>
      </c>
    </row>
    <row r="23" ht="15" customHeight="1" s="15">
      <c r="A23" s="25" t="inlineStr">
        <is>
          <t>TC-CUS-004</t>
        </is>
      </c>
      <c r="B23" s="25" t="inlineStr">
        <is>
          <t>Customer Profile &amp; Search</t>
        </is>
      </c>
      <c r="C23" s="25" t="inlineStr">
        <is>
          <t>§6–7</t>
        </is>
      </c>
      <c r="D23" s="25" t="inlineStr">
        <is>
          <t>Source system + external ID uniqueness</t>
        </is>
      </c>
      <c r="E23" s="25" t="inlineStr">
        <is>
          <t>Customer CORE/C-1001 exists</t>
        </is>
      </c>
      <c r="F23" s="25" t="inlineStr">
        <is>
          <t>1. Create another customer CORE/C-1001</t>
        </is>
      </c>
      <c r="G23" s="25" t="inlineStr">
        <is>
          <t>—</t>
        </is>
      </c>
      <c r="H23" s="25" t="inlineStr">
        <is>
          <t>Rejected with conflict error</t>
        </is>
      </c>
      <c r="I23" s="25" t="inlineStr">
        <is>
          <t>P1</t>
        </is>
      </c>
      <c r="J23" s="25" t="inlineStr">
        <is>
          <t>Negative</t>
        </is>
      </c>
      <c r="K23" s="25" t="inlineStr">
        <is>
          <t>API</t>
        </is>
      </c>
      <c r="L23" s="26" t="inlineStr">
        <is>
          <t>Pass</t>
        </is>
      </c>
      <c r="M23" s="26" t="inlineStr">
        <is>
          <t>CORE duplicate rejected 409; same external ID under WALLET created.</t>
        </is>
      </c>
      <c r="N23" s="26" t="inlineStr">
        <is>
          <t>Claude (automated test suite)</t>
        </is>
      </c>
      <c r="O23" s="27" t="n">
        <v>46310</v>
      </c>
      <c r="P23" s="26" t="n"/>
      <c r="Q23" s="26" t="inlineStr">
        <is>
          <t>Automated: CustomerTests.Source_external_uniqueness</t>
        </is>
      </c>
    </row>
    <row r="24" ht="22.35" customHeight="1" s="15">
      <c r="A24" s="25" t="inlineStr">
        <is>
          <t>TC-CUS-005</t>
        </is>
      </c>
      <c r="B24" s="25" t="inlineStr">
        <is>
          <t>Customer Profile &amp; Search</t>
        </is>
      </c>
      <c r="C24" s="25" t="inlineStr">
        <is>
          <t>§6–7</t>
        </is>
      </c>
      <c r="D24" s="25" t="inlineStr">
        <is>
          <t>Same external ID from different source allowed</t>
        </is>
      </c>
      <c r="E24" s="25" t="inlineStr">
        <is>
          <t>—</t>
        </is>
      </c>
      <c r="F24" s="25" t="inlineStr">
        <is>
          <t>1. Create WALLET/C-1001</t>
        </is>
      </c>
      <c r="G24" s="25" t="inlineStr">
        <is>
          <t>—</t>
        </is>
      </c>
      <c r="H24" s="25" t="inlineStr">
        <is>
          <t>Created successfully</t>
        </is>
      </c>
      <c r="I24" s="25" t="inlineStr">
        <is>
          <t>P3</t>
        </is>
      </c>
      <c r="J24" s="25" t="inlineStr">
        <is>
          <t>Functional</t>
        </is>
      </c>
      <c r="K24" s="25" t="inlineStr">
        <is>
          <t>API</t>
        </is>
      </c>
      <c r="L24" s="26" t="inlineStr">
        <is>
          <t>Pass</t>
        </is>
      </c>
      <c r="M24" s="26" t="inlineStr">
        <is>
          <t>CORE duplicate rejected 409; same external ID under WALLET created.</t>
        </is>
      </c>
      <c r="N24" s="26" t="inlineStr">
        <is>
          <t>Claude (automated test suite)</t>
        </is>
      </c>
      <c r="O24" s="27" t="n">
        <v>46310</v>
      </c>
      <c r="P24" s="26" t="n"/>
      <c r="Q24" s="26" t="inlineStr">
        <is>
          <t>Automated: CustomerTests.Source_external_uniqueness</t>
        </is>
      </c>
    </row>
    <row r="25" ht="22.35" customHeight="1" s="15">
      <c r="A25" s="25" t="inlineStr">
        <is>
          <t>TC-CUS-006</t>
        </is>
      </c>
      <c r="B25" s="25" t="inlineStr">
        <is>
          <t>Customer Profile &amp; Search</t>
        </is>
      </c>
      <c r="C25" s="25" t="inlineStr">
        <is>
          <t>§6–7</t>
        </is>
      </c>
      <c r="D25" s="25" t="inlineStr">
        <is>
          <t>Filter by review overdue</t>
        </is>
      </c>
      <c r="E25" s="25" t="inlineStr">
        <is>
          <t>Customers with past next-review dates</t>
        </is>
      </c>
      <c r="F25" s="25" t="inlineStr">
        <is>
          <t>1. Apply filter Review overdue</t>
        </is>
      </c>
      <c r="G25" s="25" t="inlineStr">
        <is>
          <t>—</t>
        </is>
      </c>
      <c r="H25" s="25" t="inlineStr">
        <is>
          <t>Only overdue customers listed</t>
        </is>
      </c>
      <c r="I25" s="25" t="inlineStr">
        <is>
          <t>P2</t>
        </is>
      </c>
      <c r="J25" s="25" t="inlineStr">
        <is>
          <t>Functional</t>
        </is>
      </c>
      <c r="K25" s="25" t="inlineStr">
        <is>
          <t>E2E</t>
        </is>
      </c>
      <c r="L25" s="26" t="inlineStr">
        <is>
          <t>Pass</t>
        </is>
      </c>
      <c r="M25" s="26" t="inlineStr">
        <is>
          <t>Overdue filter returned 2 customers, all with past next-review date or overdue review task; test customer included.</t>
        </is>
      </c>
      <c r="N25" s="26" t="inlineStr">
        <is>
          <t>Claude (automated test suite)</t>
        </is>
      </c>
      <c r="O25" s="27" t="n">
        <v>46310</v>
      </c>
      <c r="P25" s="26" t="n"/>
      <c r="Q25" s="26" t="inlineStr">
        <is>
          <t>Automated: CustomerTests.Review_overdue_filter</t>
        </is>
      </c>
    </row>
    <row r="26" ht="22.35" customHeight="1" s="15">
      <c r="A26" s="25" t="inlineStr">
        <is>
          <t>TC-CUS-007</t>
        </is>
      </c>
      <c r="B26" s="25" t="inlineStr">
        <is>
          <t>Customer Profile &amp; Search</t>
        </is>
      </c>
      <c r="C26" s="25" t="inlineStr">
        <is>
          <t>§6–7</t>
        </is>
      </c>
      <c r="D26" s="25" t="inlineStr">
        <is>
          <t>Configurable columns</t>
        </is>
      </c>
      <c r="E26" s="25" t="inlineStr">
        <is>
          <t>Authorized user</t>
        </is>
      </c>
      <c r="F26" s="25" t="inlineStr">
        <is>
          <t>1. Hide Country column, add Risk Level
2. Reload</t>
        </is>
      </c>
      <c r="G26" s="25" t="inlineStr">
        <is>
          <t>—</t>
        </is>
      </c>
      <c r="H26" s="25" t="inlineStr">
        <is>
          <t>Column preference persisted for that user</t>
        </is>
      </c>
      <c r="I26" s="25" t="inlineStr">
        <is>
          <t>P3</t>
        </is>
      </c>
      <c r="J26" s="25" t="inlineStr">
        <is>
          <t>UI</t>
        </is>
      </c>
      <c r="K26" s="25" t="inlineStr">
        <is>
          <t>E2E</t>
        </is>
      </c>
      <c r="L26" s="26" t="inlineStr">
        <is>
          <t>Pass</t>
        </is>
      </c>
      <c r="M26" s="26" t="inlineStr">
        <is>
          <t>Column preference saved server-side for 'officer' and reloaded; not visible to another user.</t>
        </is>
      </c>
      <c r="N26" s="26" t="inlineStr">
        <is>
          <t>Claude (automated test suite)</t>
        </is>
      </c>
      <c r="O26" s="27" t="n">
        <v>46310</v>
      </c>
      <c r="P26" s="26" t="n"/>
      <c r="Q26" s="26" t="inlineStr">
        <is>
          <t>Automated: CustomerTests.Column_preferences_persist</t>
        </is>
      </c>
    </row>
    <row r="27" ht="22.35" customHeight="1" s="15">
      <c r="A27" s="25" t="inlineStr">
        <is>
          <t>TC-CUS-008</t>
        </is>
      </c>
      <c r="B27" s="25" t="inlineStr">
        <is>
          <t>Customer Profile &amp; Search</t>
        </is>
      </c>
      <c r="C27" s="25" t="inlineStr">
        <is>
          <t>§6–7</t>
        </is>
      </c>
      <c r="D27" s="25" t="inlineStr">
        <is>
          <t>Bulk action permission check</t>
        </is>
      </c>
      <c r="E27" s="25" t="inlineStr">
        <is>
          <t>User without bulk-assign permission</t>
        </is>
      </c>
      <c r="F27" s="25" t="inlineStr">
        <is>
          <t>1. Select 10 customers
2. Attempt bulk assign via API</t>
        </is>
      </c>
      <c r="G27" s="25" t="inlineStr">
        <is>
          <t>—</t>
        </is>
      </c>
      <c r="H27" s="25" t="inlineStr">
        <is>
          <t>HTTP 403; audit records denied attempt</t>
        </is>
      </c>
      <c r="I27" s="25" t="inlineStr">
        <is>
          <t>P1</t>
        </is>
      </c>
      <c r="J27" s="25" t="inlineStr">
        <is>
          <t>Security</t>
        </is>
      </c>
      <c r="K27" s="25" t="inlineStr">
        <is>
          <t>API</t>
        </is>
      </c>
      <c r="L27" s="26" t="inlineStr">
        <is>
          <t>Pass</t>
        </is>
      </c>
      <c r="M27" s="26" t="inlineStr">
        <is>
          <t>Officer (no customers.bulk) → 403; ACCESS_DENIED audit entries for officer: 3.</t>
        </is>
      </c>
      <c r="N27" s="26" t="inlineStr">
        <is>
          <t>Claude (automated test suite)</t>
        </is>
      </c>
      <c r="O27" s="27" t="n">
        <v>46310</v>
      </c>
      <c r="P27" s="26" t="n"/>
      <c r="Q27" s="26" t="inlineStr">
        <is>
          <t>Automated: CustomerTests.Bulk_assign_forbidden_and_audited</t>
        </is>
      </c>
    </row>
    <row r="28" ht="22.35" customHeight="1" s="15">
      <c r="A28" s="25" t="inlineStr">
        <is>
          <t>TC-CUS-009</t>
        </is>
      </c>
      <c r="B28" s="25" t="inlineStr">
        <is>
          <t>Customer Profile &amp; Search</t>
        </is>
      </c>
      <c r="C28" s="25" t="inlineStr">
        <is>
          <t>§6–7</t>
        </is>
      </c>
      <c r="D28" s="25" t="inlineStr">
        <is>
          <t>Profile shows 'why this risk level'</t>
        </is>
      </c>
      <c r="E28" s="25" t="inlineStr">
        <is>
          <t>Customer assessed</t>
        </is>
      </c>
      <c r="F28" s="25" t="inlineStr">
        <is>
          <t>1. Open Overview tab</t>
        </is>
      </c>
      <c r="G28" s="25" t="inlineStr">
        <is>
          <t>—</t>
        </is>
      </c>
      <c r="H28" s="25" t="inlineStr">
        <is>
          <t>Factor contributions, missing-data warnings, methodology version, assessment date, next review shown</t>
        </is>
      </c>
      <c r="I28" s="25" t="inlineStr">
        <is>
          <t>P1</t>
        </is>
      </c>
      <c r="J28" s="25" t="inlineStr">
        <is>
          <t>Functional</t>
        </is>
      </c>
      <c r="K28" s="25" t="inlineStr">
        <is>
          <t>E2E</t>
        </is>
      </c>
      <c r="L28" s="26" t="inlineStr">
        <is>
          <t>Pass</t>
        </is>
      </c>
      <c r="M28" s="26" t="inlineStr">
        <is>
          <t>Assessment shows 9 factor contributions, warnings=, methodology CRA-STD v1, assessed , next review 2029-10-14.</t>
        </is>
      </c>
      <c r="N28" s="26" t="inlineStr">
        <is>
          <t>Claude (automated test suite)</t>
        </is>
      </c>
      <c r="O28" s="27" t="n">
        <v>46310</v>
      </c>
      <c r="P28" s="26" t="n"/>
      <c r="Q28" s="26" t="inlineStr">
        <is>
          <t>Automated: CustomerTests.Why_this_risk_level</t>
        </is>
      </c>
    </row>
    <row r="29" ht="22.35" customHeight="1" s="15">
      <c r="A29" s="25" t="inlineStr">
        <is>
          <t>TC-CUS-010</t>
        </is>
      </c>
      <c r="B29" s="25" t="inlineStr">
        <is>
          <t>Customer Profile &amp; Search</t>
        </is>
      </c>
      <c r="C29" s="25" t="inlineStr">
        <is>
          <t>§6–7</t>
        </is>
      </c>
      <c r="D29" s="25" t="inlineStr">
        <is>
          <t>Financial profile effective-dated reconstruction</t>
        </is>
      </c>
      <c r="E29" s="25" t="inlineStr">
        <is>
          <t>Declared income changed twice</t>
        </is>
      </c>
      <c r="F29" s="25" t="inlineStr">
        <is>
          <t>1. Query financial profile as of earlier date</t>
        </is>
      </c>
      <c r="G29" s="25" t="inlineStr">
        <is>
          <t>—</t>
        </is>
      </c>
      <c r="H29" s="25" t="inlineStr">
        <is>
          <t>Previous declared income and source of funds returned</t>
        </is>
      </c>
      <c r="I29" s="25" t="inlineStr">
        <is>
          <t>P2</t>
        </is>
      </c>
      <c r="J29" s="25" t="inlineStr">
        <is>
          <t>Functional</t>
        </is>
      </c>
      <c r="K29" s="25" t="inlineStr">
        <is>
          <t>Integration</t>
        </is>
      </c>
      <c r="L29" s="26" t="inlineStr">
        <is>
          <t>Pass</t>
        </is>
      </c>
      <c r="M29" s="26" t="inlineStr">
        <is>
          <t>As of 2025-06-01 → income 1000, source of funds 'Salary' (later 3000/'Business' version excluded).</t>
        </is>
      </c>
      <c r="N29" s="26" t="inlineStr">
        <is>
          <t>Claude (automated test suite)</t>
        </is>
      </c>
      <c r="O29" s="27" t="n">
        <v>46310</v>
      </c>
      <c r="P29" s="26" t="n"/>
      <c r="Q29" s="26" t="inlineStr">
        <is>
          <t>Automated: CustomerTests.Financial_profile_as_of</t>
        </is>
      </c>
    </row>
    <row r="30" ht="22.35" customHeight="1" s="15">
      <c r="A30" s="25" t="inlineStr">
        <is>
          <t>TC-CUS-011</t>
        </is>
      </c>
      <c r="B30" s="25" t="inlineStr">
        <is>
          <t>Customer Profile &amp; Search</t>
        </is>
      </c>
      <c r="C30" s="25" t="inlineStr">
        <is>
          <t>§6–7</t>
        </is>
      </c>
      <c r="D30" s="25" t="inlineStr">
        <is>
          <t>Optimistic concurrency on customer update</t>
        </is>
      </c>
      <c r="E30" s="25" t="inlineStr">
        <is>
          <t>Two users open same customer</t>
        </is>
      </c>
      <c r="F30" s="25" t="inlineStr">
        <is>
          <t>1. User A saves
2. User B saves with stale row version</t>
        </is>
      </c>
      <c r="G30" s="25" t="inlineStr">
        <is>
          <t>—</t>
        </is>
      </c>
      <c r="H30" s="25" t="inlineStr">
        <is>
          <t>User B receives HTTP 409 conflict; no silent overwrite</t>
        </is>
      </c>
      <c r="I30" s="25" t="inlineStr">
        <is>
          <t>P1</t>
        </is>
      </c>
      <c r="J30" s="25" t="inlineStr">
        <is>
          <t>Functional</t>
        </is>
      </c>
      <c r="K30" s="25" t="inlineStr">
        <is>
          <t>API</t>
        </is>
      </c>
      <c r="L30" s="26" t="inlineStr">
        <is>
          <t>Pass</t>
        </is>
      </c>
      <c r="M30" s="26" t="inlineStr">
        <is>
          <t>User A saved region NORTH; user B with stale rowVersion got 409; value remains NORTH.</t>
        </is>
      </c>
      <c r="N30" s="26" t="inlineStr">
        <is>
          <t>Claude (automated test suite)</t>
        </is>
      </c>
      <c r="O30" s="27" t="n">
        <v>46310</v>
      </c>
      <c r="P30" s="26" t="n"/>
      <c r="Q30" s="26" t="inlineStr">
        <is>
          <t>Automated: CustomerTests.Optimistic_concurrency</t>
        </is>
      </c>
    </row>
    <row r="31" ht="22.35" customHeight="1" s="15">
      <c r="A31" s="25" t="inlineStr">
        <is>
          <t>TC-CUS-012</t>
        </is>
      </c>
      <c r="B31" s="25" t="inlineStr">
        <is>
          <t>Customer Profile &amp; Search</t>
        </is>
      </c>
      <c r="C31" s="25" t="inlineStr">
        <is>
          <t>§6–7</t>
        </is>
      </c>
      <c r="D31" s="25" t="inlineStr">
        <is>
          <t>All 14 profile tabs load with API data</t>
        </is>
      </c>
      <c r="E31" s="25" t="inlineStr">
        <is>
          <t>Demo customer seeded</t>
        </is>
      </c>
      <c r="F31" s="25" t="inlineStr">
        <is>
          <t>1. Open each tab</t>
        </is>
      </c>
      <c r="G31" s="25" t="inlineStr">
        <is>
          <t>—</t>
        </is>
      </c>
      <c r="H31" s="25" t="inlineStr">
        <is>
          <t>Each tab loads real API data or shows empty state; no static mock content</t>
        </is>
      </c>
      <c r="I31" s="25" t="inlineStr">
        <is>
          <t>P2</t>
        </is>
      </c>
      <c r="J31" s="25" t="inlineStr">
        <is>
          <t>UI</t>
        </is>
      </c>
      <c r="K31" s="25" t="inlineStr">
        <is>
          <t>E2E</t>
        </is>
      </c>
      <c r="L31" s="26" t="inlineStr">
        <is>
          <t>Pass</t>
        </is>
      </c>
      <c r="M31" s="26" t="inlineStr">
        <is>
          <t>All profile tab endpoints return live API data (empty arrays where none): overview:200, attributes:200, financial-profiles:200, documents:200, ownership:200, relationships:200, wallets:200, transactions:200, risk-assessments:200, alerts:200, cases:200, screening:200, history:200, device-signals:200, edd-tasks:200, acceptance:200. UI rendering verified in E2E tests. | Name containing &lt;script&gt;/&lt;img onerror&gt; displayed as literal text, no script executed or element injected; all 14 profile tabs load API data or empty state; screening status and risk level shown as separate badges.</t>
        </is>
      </c>
      <c r="N31" s="26" t="inlineStr">
        <is>
          <t>Claude (automated test suite)</t>
        </is>
      </c>
      <c r="O31" s="27" t="n">
        <v>46310</v>
      </c>
      <c r="P31" s="26" t="n"/>
      <c r="Q31" s="26" t="inlineStr">
        <is>
          <t>Automated: CustomerTests.Profile_tab_endpoints_return_api_data; E2E: [TC-SEC-015, TC-CUS-012, TC-SCR-006] XSS rendered as text; profile tabs and separate screening/risk badges</t>
        </is>
      </c>
    </row>
    <row r="32" ht="22.35" customHeight="1" s="15">
      <c r="A32" s="25" t="inlineStr">
        <is>
          <t>TC-CDD-001</t>
        </is>
      </c>
      <c r="B32" s="25" t="inlineStr">
        <is>
          <t>Customer Acceptance, CDD &amp; Beneficial Ownership</t>
        </is>
      </c>
      <c r="C32" s="25" t="inlineStr">
        <is>
          <t>§18</t>
        </is>
      </c>
      <c r="D32" s="25" t="inlineStr">
        <is>
          <t>Auto-accept low-risk customer with clear screening</t>
        </is>
      </c>
      <c r="E32" s="25" t="inlineStr">
        <is>
          <t>Acceptance policy v1 active</t>
        </is>
      </c>
      <c r="F32" s="25" t="inlineStr">
        <is>
          <t>1. Onboard individual with complete KYC, clear screening, Low risk</t>
        </is>
      </c>
      <c r="G32" s="25" t="inlineStr">
        <is>
          <t>—</t>
        </is>
      </c>
      <c r="H32" s="25" t="inlineStr">
        <is>
          <t>Decision Accepted; policy version stored</t>
        </is>
      </c>
      <c r="I32" s="25" t="inlineStr">
        <is>
          <t>P1</t>
        </is>
      </c>
      <c r="J32" s="25" t="inlineStr">
        <is>
          <t>Functional</t>
        </is>
      </c>
      <c r="K32" s="25" t="inlineStr">
        <is>
          <t>E2E</t>
        </is>
      </c>
      <c r="L32" s="26" t="inlineStr">
        <is>
          <t>Pass</t>
        </is>
      </c>
      <c r="M32" s="26" t="inlineStr">
        <is>
          <t>Decision Accepted (risk Low, screening clear); policy ACCEPT v1 stored; decision recorded as current.</t>
        </is>
      </c>
      <c r="N32" s="26" t="inlineStr">
        <is>
          <t>Claude (automated test suite)</t>
        </is>
      </c>
      <c r="O32" s="27" t="n">
        <v>46310</v>
      </c>
      <c r="P32" s="26" t="n"/>
      <c r="Q32" s="26" t="inlineStr">
        <is>
          <t>Automated: CddTests.Auto_accept_low_risk_clear</t>
        </is>
      </c>
    </row>
    <row r="33" ht="22.35" customHeight="1" s="15">
      <c r="A33" s="25" t="inlineStr">
        <is>
          <t>TC-CDD-002</t>
        </is>
      </c>
      <c r="B33" s="25" t="inlineStr">
        <is>
          <t>Customer Acceptance, CDD &amp; Beneficial Ownership</t>
        </is>
      </c>
      <c r="C33" s="25" t="inlineStr">
        <is>
          <t>§18</t>
        </is>
      </c>
      <c r="D33" s="25" t="inlineStr">
        <is>
          <t>Pending screening blocks acceptance</t>
        </is>
      </c>
      <c r="E33" s="25" t="inlineStr">
        <is>
          <t>Screening provider unavailable</t>
        </is>
      </c>
      <c r="F33" s="25" t="inlineStr">
        <is>
          <t>1. Onboard customer</t>
        </is>
      </c>
      <c r="G33" s="25" t="inlineStr">
        <is>
          <t>—</t>
        </is>
      </c>
      <c r="H33" s="25" t="inlineStr">
        <is>
          <t>Decision Pending Information; not auto-accepted</t>
        </is>
      </c>
      <c r="I33" s="25" t="inlineStr">
        <is>
          <t>P1</t>
        </is>
      </c>
      <c r="J33" s="25" t="inlineStr">
        <is>
          <t>Negative</t>
        </is>
      </c>
      <c r="K33" s="25" t="inlineStr">
        <is>
          <t>Integration</t>
        </is>
      </c>
      <c r="L33" s="26" t="inlineStr">
        <is>
          <t>Pass</t>
        </is>
      </c>
      <c r="M33" s="26" t="inlineStr">
        <is>
          <t>Provider unavailable → screening status Unavailable, request status Unavailable with retry scheduled at 2026-10-14T23:59:59.3934749Z; decision PendingInformation (reason SCREENING_UNAVAILABLE); never Clear.</t>
        </is>
      </c>
      <c r="N33" s="26" t="inlineStr">
        <is>
          <t>Claude (automated test suite)</t>
        </is>
      </c>
      <c r="O33" s="27" t="n">
        <v>46310</v>
      </c>
      <c r="P33" s="26" t="n"/>
      <c r="Q33" s="26" t="inlineStr">
        <is>
          <t>Automated: CddTests.Pending_screening_blocks_acceptance</t>
        </is>
      </c>
    </row>
    <row r="34" ht="22.35" customHeight="1" s="15">
      <c r="A34" s="25" t="inlineStr">
        <is>
          <t>TC-CDD-003</t>
        </is>
      </c>
      <c r="B34" s="25" t="inlineStr">
        <is>
          <t>Customer Acceptance, CDD &amp; Beneficial Ownership</t>
        </is>
      </c>
      <c r="C34" s="25" t="inlineStr">
        <is>
          <t>§18</t>
        </is>
      </c>
      <c r="D34" s="25" t="inlineStr">
        <is>
          <t>Confirmed sanctions match blocks acceptance</t>
        </is>
      </c>
      <c r="E34" s="25" t="inlineStr">
        <is>
          <t>Subject matches list entry, confirmed</t>
        </is>
      </c>
      <c r="F34" s="25" t="inlineStr">
        <is>
          <t>1. Complete onboarding</t>
        </is>
      </c>
      <c r="G34" s="25" t="inlineStr">
        <is>
          <t>—</t>
        </is>
      </c>
      <c r="H34" s="25" t="inlineStr">
        <is>
          <t>Decision cannot be Accepted; sanctions workflow triggered</t>
        </is>
      </c>
      <c r="I34" s="25" t="inlineStr">
        <is>
          <t>P1</t>
        </is>
      </c>
      <c r="J34" s="25" t="inlineStr">
        <is>
          <t>Functional</t>
        </is>
      </c>
      <c r="K34" s="25" t="inlineStr">
        <is>
          <t>E2E</t>
        </is>
      </c>
      <c r="L34" s="26" t="inlineStr">
        <is>
          <t>Pass</t>
        </is>
      </c>
      <c r="M34" s="26" t="inlineStr">
        <is>
          <t>Confirmed UN-TEST match → decision Rejected with sanctionsWorkflow=true; manual accept refused 409: Customer with a confirmed sanctions match cannot be accepted; the sanctions workflow applies.</t>
        </is>
      </c>
      <c r="N34" s="26" t="inlineStr">
        <is>
          <t>Claude (automated test suite)</t>
        </is>
      </c>
      <c r="O34" s="27" t="n">
        <v>46310</v>
      </c>
      <c r="P34" s="26" t="n"/>
      <c r="Q34" s="26" t="inlineStr">
        <is>
          <t>Automated: CddTests.Confirmed_sanctions_blocks_acceptance</t>
        </is>
      </c>
    </row>
    <row r="35" ht="22.35" customHeight="1" s="15">
      <c r="A35" s="25" t="inlineStr">
        <is>
          <t>TC-CDD-004</t>
        </is>
      </c>
      <c r="B35" s="25" t="inlineStr">
        <is>
          <t>Customer Acceptance, CDD &amp; Beneficial Ownership</t>
        </is>
      </c>
      <c r="C35" s="25" t="inlineStr">
        <is>
          <t>§18</t>
        </is>
      </c>
      <c r="D35" s="25" t="inlineStr">
        <is>
          <t>PEP requires senior approval</t>
        </is>
      </c>
      <c r="E35" s="25" t="inlineStr">
        <is>
          <t>PEP override policy configured</t>
        </is>
      </c>
      <c r="F35" s="25" t="inlineStr">
        <is>
          <t>1. Onboard customer flagged PEP</t>
        </is>
      </c>
      <c r="G35" s="25" t="inlineStr">
        <is>
          <t>—</t>
        </is>
      </c>
      <c r="H35" s="25" t="inlineStr">
        <is>
          <t>Decision Pending Senior Approval; EDD level assigned; approval by Senior role required</t>
        </is>
      </c>
      <c r="I35" s="25" t="inlineStr">
        <is>
          <t>P1</t>
        </is>
      </c>
      <c r="J35" s="25" t="inlineStr">
        <is>
          <t>Functional</t>
        </is>
      </c>
      <c r="K35" s="25" t="inlineStr">
        <is>
          <t>E2E</t>
        </is>
      </c>
      <c r="L35" s="26" t="inlineStr">
        <is>
          <t>Pass</t>
        </is>
      </c>
      <c r="M35" s="26" t="inlineStr">
        <is>
          <t>PEP onboarding → PendingSeniorApproval, DD level EDD, status stays Prospect; officer approval 403; senior approval → Accepted (approvedBy senior).</t>
        </is>
      </c>
      <c r="N35" s="26" t="inlineStr">
        <is>
          <t>Claude (automated test suite)</t>
        </is>
      </c>
      <c r="O35" s="27" t="n">
        <v>46310</v>
      </c>
      <c r="P35" s="26" t="n"/>
      <c r="Q35" s="26" t="inlineStr">
        <is>
          <t>Automated: CddTests.Pep_requires_senior_approval</t>
        </is>
      </c>
    </row>
    <row r="36" ht="22.35" customHeight="1" s="15">
      <c r="A36" s="25" t="inlineStr">
        <is>
          <t>TC-CDD-005</t>
        </is>
      </c>
      <c r="B36" s="25" t="inlineStr">
        <is>
          <t>Customer Acceptance, CDD &amp; Beneficial Ownership</t>
        </is>
      </c>
      <c r="C36" s="25" t="inlineStr">
        <is>
          <t>§18</t>
        </is>
      </c>
      <c r="D36" s="25" t="inlineStr">
        <is>
          <t>EDD task list generated</t>
        </is>
      </c>
      <c r="E36" s="25" t="inlineStr">
        <is>
          <t>Customer assigned EDD</t>
        </is>
      </c>
      <c r="F36" s="25" t="inlineStr">
        <is>
          <t>1. Open EDD tasks</t>
        </is>
      </c>
      <c r="G36" s="25" t="inlineStr">
        <is>
          <t>—</t>
        </is>
      </c>
      <c r="H36" s="25" t="inlineStr">
        <is>
          <t>Required documents, SoF/SoW tasks listed with evidence and sign-off fields</t>
        </is>
      </c>
      <c r="I36" s="25" t="inlineStr">
        <is>
          <t>P1</t>
        </is>
      </c>
      <c r="J36" s="25" t="inlineStr">
        <is>
          <t>Functional</t>
        </is>
      </c>
      <c r="K36" s="25" t="inlineStr">
        <is>
          <t>E2E</t>
        </is>
      </c>
      <c r="L36" s="26" t="inlineStr">
        <is>
          <t>Pass</t>
        </is>
      </c>
      <c r="M36" s="26" t="inlineStr">
        <is>
          <t>EDD tasks: Document, Document, SourceOfFunds, SourceOfWealth, SeniorManagementApproval; completing without evidence → 400 (Evidence reference is required to sign off an EDD task.); with evidence → signed off by officer.</t>
        </is>
      </c>
      <c r="N36" s="26" t="inlineStr">
        <is>
          <t>Claude (automated test suite)</t>
        </is>
      </c>
      <c r="O36" s="27" t="n">
        <v>46310</v>
      </c>
      <c r="P36" s="26" t="n"/>
      <c r="Q36" s="26" t="inlineStr">
        <is>
          <t>Automated: CddTests.Edd_tasks_and_evidence</t>
        </is>
      </c>
    </row>
    <row r="37" ht="22.35" customHeight="1" s="15">
      <c r="A37" s="25" t="inlineStr">
        <is>
          <t>TC-CDD-006</t>
        </is>
      </c>
      <c r="B37" s="25" t="inlineStr">
        <is>
          <t>Customer Acceptance, CDD &amp; Beneficial Ownership</t>
        </is>
      </c>
      <c r="C37" s="25" t="inlineStr">
        <is>
          <t>§18</t>
        </is>
      </c>
      <c r="D37" s="25" t="inlineStr">
        <is>
          <t>EDD cannot be closed without evidence</t>
        </is>
      </c>
      <c r="E37" s="25" t="inlineStr">
        <is>
          <t>EDD task open</t>
        </is>
      </c>
      <c r="F37" s="25" t="inlineStr">
        <is>
          <t>1. Mark task complete without evidence</t>
        </is>
      </c>
      <c r="G37" s="25" t="inlineStr">
        <is>
          <t>—</t>
        </is>
      </c>
      <c r="H37" s="25" t="inlineStr">
        <is>
          <t>Rejected with validation message</t>
        </is>
      </c>
      <c r="I37" s="25" t="inlineStr">
        <is>
          <t>P2</t>
        </is>
      </c>
      <c r="J37" s="25" t="inlineStr">
        <is>
          <t>Negative</t>
        </is>
      </c>
      <c r="K37" s="25" t="inlineStr">
        <is>
          <t>API</t>
        </is>
      </c>
      <c r="L37" s="26" t="inlineStr">
        <is>
          <t>Pass</t>
        </is>
      </c>
      <c r="M37" s="26" t="inlineStr">
        <is>
          <t>EDD tasks: Document, Document, SourceOfFunds, SourceOfWealth, SeniorManagementApproval; completing without evidence → 400 (Evidence reference is required to sign off an EDD task.); with evidence → signed off by officer.</t>
        </is>
      </c>
      <c r="N37" s="26" t="inlineStr">
        <is>
          <t>Claude (automated test suite)</t>
        </is>
      </c>
      <c r="O37" s="27" t="n">
        <v>46310</v>
      </c>
      <c r="P37" s="26" t="n"/>
      <c r="Q37" s="26" t="inlineStr">
        <is>
          <t>Automated: CddTests.Edd_tasks_and_evidence</t>
        </is>
      </c>
    </row>
    <row r="38" ht="22.35" customHeight="1" s="15">
      <c r="A38" s="25" t="inlineStr">
        <is>
          <t>TC-CDD-007</t>
        </is>
      </c>
      <c r="B38" s="25" t="inlineStr">
        <is>
          <t>Customer Acceptance, CDD &amp; Beneficial Ownership</t>
        </is>
      </c>
      <c r="C38" s="25" t="inlineStr">
        <is>
          <t>§18</t>
        </is>
      </c>
      <c r="D38" s="25" t="inlineStr">
        <is>
          <t>SDD applied to low-risk segment</t>
        </is>
      </c>
      <c r="E38" s="25" t="inlineStr">
        <is>
          <t>SDD policy for low-risk product</t>
        </is>
      </c>
      <c r="F38" s="25" t="inlineStr">
        <is>
          <t>1. Onboard eligible customer</t>
        </is>
      </c>
      <c r="G38" s="25" t="inlineStr">
        <is>
          <t>—</t>
        </is>
      </c>
      <c r="H38" s="25" t="inlineStr">
        <is>
          <t>SDD requirements applied; reduced required fields per config</t>
        </is>
      </c>
      <c r="I38" s="25" t="inlineStr">
        <is>
          <t>P3</t>
        </is>
      </c>
      <c r="J38" s="25" t="inlineStr">
        <is>
          <t>Functional</t>
        </is>
      </c>
      <c r="K38" s="25" t="inlineStr">
        <is>
          <t>Integration</t>
        </is>
      </c>
      <c r="L38" s="26" t="inlineStr">
        <is>
          <t>Pass</t>
        </is>
      </c>
      <c r="M38" s="26" t="inlineStr">
        <is>
          <t>Low-risk BASIC-tier customer → SDD (no additional required fields: gaps=0); standard customer → CDD; PEP → EDD (see TC-CDD-004).</t>
        </is>
      </c>
      <c r="N38" s="26" t="inlineStr">
        <is>
          <t>Claude (automated test suite)</t>
        </is>
      </c>
      <c r="O38" s="27" t="n">
        <v>46310</v>
      </c>
      <c r="P38" s="26" t="n"/>
      <c r="Q38" s="26" t="inlineStr">
        <is>
          <t>Automated: CddTests.Sdd_for_low_risk_segment</t>
        </is>
      </c>
    </row>
    <row r="39" ht="22.35" customHeight="1" s="15">
      <c r="A39" s="25" t="inlineStr">
        <is>
          <t>TC-CDD-008</t>
        </is>
      </c>
      <c r="B39" s="25" t="inlineStr">
        <is>
          <t>Customer Acceptance, CDD &amp; Beneficial Ownership</t>
        </is>
      </c>
      <c r="C39" s="25" t="inlineStr">
        <is>
          <t>§18</t>
        </is>
      </c>
      <c r="D39" s="25" t="inlineStr">
        <is>
          <t>Indirect ownership calculation</t>
        </is>
      </c>
      <c r="E39" s="25" t="inlineStr">
        <is>
          <t>Company A owned 60% by B; B owned 50% by person P</t>
        </is>
      </c>
      <c r="F39" s="25" t="inlineStr">
        <is>
          <t>1. Open A beneficial owners</t>
        </is>
      </c>
      <c r="G39" s="25" t="inlineStr">
        <is>
          <t>—</t>
        </is>
      </c>
      <c r="H39" s="25" t="inlineStr">
        <is>
          <t>P shown with indirect ownership 30%</t>
        </is>
      </c>
      <c r="I39" s="25" t="inlineStr">
        <is>
          <t>P1</t>
        </is>
      </c>
      <c r="J39" s="25" t="inlineStr">
        <is>
          <t>Functional</t>
        </is>
      </c>
      <c r="K39" s="25" t="inlineStr">
        <is>
          <t>Unit</t>
        </is>
      </c>
      <c r="L39" s="26" t="inlineStr">
        <is>
          <t>Pass</t>
        </is>
      </c>
      <c r="M39" s="26" t="inlineStr">
        <is>
          <t>P indirect ownership 30.0% via path A &lt;- B &lt;- P (50%); basis: Ownership 30% &gt;= threshold 25%</t>
        </is>
      </c>
      <c r="N39" s="26" t="inlineStr">
        <is>
          <t>Claude (automated test suite)</t>
        </is>
      </c>
      <c r="O39" s="27" t="n">
        <v>46310</v>
      </c>
      <c r="P39" s="26" t="n"/>
      <c r="Q39" s="26" t="inlineStr">
        <is>
          <t>Automated: OwnershipCalendarTests.Indirect_ownership</t>
        </is>
      </c>
    </row>
    <row r="40" ht="22.35" customHeight="1" s="15">
      <c r="A40" s="25" t="inlineStr">
        <is>
          <t>TC-CDD-009</t>
        </is>
      </c>
      <c r="B40" s="25" t="inlineStr">
        <is>
          <t>Customer Acceptance, CDD &amp; Beneficial Ownership</t>
        </is>
      </c>
      <c r="C40" s="25" t="inlineStr">
        <is>
          <t>§18</t>
        </is>
      </c>
      <c r="D40" s="25" t="inlineStr">
        <is>
          <t>Configurable UBO threshold</t>
        </is>
      </c>
      <c r="E40" s="25" t="inlineStr">
        <is>
          <t>Threshold set to 10%</t>
        </is>
      </c>
      <c r="F40" s="25" t="inlineStr">
        <is>
          <t>1. Owner with 12% indirect</t>
        </is>
      </c>
      <c r="G40" s="25" t="inlineStr">
        <is>
          <t>—</t>
        </is>
      </c>
      <c r="H40" s="25" t="inlineStr">
        <is>
          <t>Owner flagged as beneficial owner; at 25% config not flagged</t>
        </is>
      </c>
      <c r="I40" s="25" t="inlineStr">
        <is>
          <t>P1</t>
        </is>
      </c>
      <c r="J40" s="25" t="inlineStr">
        <is>
          <t>Functional</t>
        </is>
      </c>
      <c r="K40" s="25" t="inlineStr">
        <is>
          <t>Unit</t>
        </is>
      </c>
      <c r="L40" s="26" t="inlineStr">
        <is>
          <t>Pass</t>
        </is>
      </c>
      <c r="M40" s="26" t="inlineStr">
        <is>
          <t>12% indirect owner flagged at threshold 10%, not at 25%; boundary: 25% at threshold 25 → flagged (&gt;=), 24.99% → not flagged.</t>
        </is>
      </c>
      <c r="N40" s="26" t="inlineStr">
        <is>
          <t>Claude (automated test suite)</t>
        </is>
      </c>
      <c r="O40" s="27" t="n">
        <v>46310</v>
      </c>
      <c r="P40" s="26" t="n"/>
      <c r="Q40" s="26" t="inlineStr">
        <is>
          <t>Automated: OwnershipCalendarTests.Configurable_threshold</t>
        </is>
      </c>
    </row>
    <row r="41" ht="22.35" customHeight="1" s="15">
      <c r="A41" s="25" t="inlineStr">
        <is>
          <t>TC-CDD-010</t>
        </is>
      </c>
      <c r="B41" s="25" t="inlineStr">
        <is>
          <t>Customer Acceptance, CDD &amp; Beneficial Ownership</t>
        </is>
      </c>
      <c r="C41" s="25" t="inlineStr">
        <is>
          <t>§18</t>
        </is>
      </c>
      <c r="D41" s="25" t="inlineStr">
        <is>
          <t>Control by other means recorded</t>
        </is>
      </c>
      <c r="E41" s="25" t="inlineStr">
        <is>
          <t>Person with 0% ownership but control</t>
        </is>
      </c>
      <c r="F41" s="25" t="inlineStr">
        <is>
          <t>1. Add controller with control type 'other means'</t>
        </is>
      </c>
      <c r="G41" s="25" t="inlineStr">
        <is>
          <t>—</t>
        </is>
      </c>
      <c r="H41" s="25" t="inlineStr">
        <is>
          <t>Listed as beneficial owner regardless of percentage</t>
        </is>
      </c>
      <c r="I41" s="25" t="inlineStr">
        <is>
          <t>P2</t>
        </is>
      </c>
      <c r="J41" s="25" t="inlineStr">
        <is>
          <t>Functional</t>
        </is>
      </c>
      <c r="K41" s="25" t="inlineStr">
        <is>
          <t>Integration</t>
        </is>
      </c>
      <c r="L41" s="26" t="inlineStr">
        <is>
          <t>Pass</t>
        </is>
      </c>
      <c r="M41" s="26" t="inlineStr">
        <is>
          <t>0% controller by other means listed as beneficial owner: Control by ControlOtherMeans (regardless of percentage) | Direct 40% ownership stored with type/effective date/evidence; signatory relationship stored effective 2025-02-01T00:00:00Z; 0% controller by other means listed as BO: Control by ControlOtherMeans (regardless of percentage).</t>
        </is>
      </c>
      <c r="N41" s="26" t="inlineStr">
        <is>
          <t>Claude (automated test suite)</t>
        </is>
      </c>
      <c r="O41" s="27" t="n">
        <v>46310</v>
      </c>
      <c r="P41" s="26" t="n"/>
      <c r="Q41" s="26" t="inlineStr">
        <is>
          <t>Automated: OwnershipCalendarTests.Control_other_means; CddTests.Ownership_and_control_records</t>
        </is>
      </c>
    </row>
    <row r="42" ht="22.35" customHeight="1" s="15">
      <c r="A42" s="25" t="inlineStr">
        <is>
          <t>TC-CDD-011</t>
        </is>
      </c>
      <c r="B42" s="25" t="inlineStr">
        <is>
          <t>Customer Acceptance, CDD &amp; Beneficial Ownership</t>
        </is>
      </c>
      <c r="C42" s="25" t="inlineStr">
        <is>
          <t>§18</t>
        </is>
      </c>
      <c r="D42" s="25" t="inlineStr">
        <is>
          <t>Circular ownership detected</t>
        </is>
      </c>
      <c r="E42" s="25" t="inlineStr">
        <is>
          <t>A owns B, B owns A</t>
        </is>
      </c>
      <c r="F42" s="25" t="inlineStr">
        <is>
          <t>1. Save structure</t>
        </is>
      </c>
      <c r="G42" s="25" t="inlineStr">
        <is>
          <t>—</t>
        </is>
      </c>
      <c r="H42" s="25" t="inlineStr">
        <is>
          <t>Data-quality issue raised; calculation terminates without infinite loop</t>
        </is>
      </c>
      <c r="I42" s="25" t="inlineStr">
        <is>
          <t>P2</t>
        </is>
      </c>
      <c r="J42" s="25" t="inlineStr">
        <is>
          <t>Negative</t>
        </is>
      </c>
      <c r="K42" s="25" t="inlineStr">
        <is>
          <t>Unit</t>
        </is>
      </c>
      <c r="L42" s="26" t="inlineStr">
        <is>
          <t>Pass</t>
        </is>
      </c>
      <c r="M42" s="26" t="inlineStr">
        <is>
          <t>Calculation terminated; issue: Circular ownership: A &lt;- B &lt;- A</t>
        </is>
      </c>
      <c r="N42" s="26" t="inlineStr">
        <is>
          <t>Claude (automated test suite)</t>
        </is>
      </c>
      <c r="O42" s="27" t="n">
        <v>46310</v>
      </c>
      <c r="P42" s="26" t="n"/>
      <c r="Q42" s="26" t="inlineStr">
        <is>
          <t>Automated: OwnershipCalendarTests.Circular_ownership</t>
        </is>
      </c>
    </row>
    <row r="43" ht="22.35" customHeight="1" s="15">
      <c r="A43" s="25" t="inlineStr">
        <is>
          <t>TC-CDD-012</t>
        </is>
      </c>
      <c r="B43" s="25" t="inlineStr">
        <is>
          <t>Customer Acceptance, CDD &amp; Beneficial Ownership</t>
        </is>
      </c>
      <c r="C43" s="25" t="inlineStr">
        <is>
          <t>§18</t>
        </is>
      </c>
      <c r="D43" s="25" t="inlineStr">
        <is>
          <t>UBO screening propagates to entity risk</t>
        </is>
      </c>
      <c r="E43" s="25" t="inlineStr">
        <is>
          <t>UBO is a PEP</t>
        </is>
      </c>
      <c r="F43" s="25" t="inlineStr">
        <is>
          <t>1. Run entity assessment</t>
        </is>
      </c>
      <c r="G43" s="25" t="inlineStr">
        <is>
          <t>—</t>
        </is>
      </c>
      <c r="H43" s="25" t="inlineStr">
        <is>
          <t>Entity factor 'PEP beneficial owner' scored; explanation names the UBO</t>
        </is>
      </c>
      <c r="I43" s="25" t="inlineStr">
        <is>
          <t>P1</t>
        </is>
      </c>
      <c r="J43" s="25" t="inlineStr">
        <is>
          <t>Functional</t>
        </is>
      </c>
      <c r="K43" s="25" t="inlineStr">
        <is>
          <t>Integration</t>
        </is>
      </c>
      <c r="L43" s="26" t="inlineStr">
        <is>
          <t>Pass</t>
        </is>
      </c>
      <c r="M43" s="26" t="inlineStr">
        <is>
          <t>Owner screened (subject BeneficialOwner); confirmed PEP → entity factor UBO_PEP score 100: PEP beneficial owner: value 'true' matched mapping Boolean 'true' =&gt; score 100. Detail: PEP beneficial owner(s): Testminister Kareem Fakename (Ownership 60% &gt;= threshold 25%).</t>
        </is>
      </c>
      <c r="N43" s="26" t="inlineStr">
        <is>
          <t>Claude (automated test suite)</t>
        </is>
      </c>
      <c r="O43" s="27" t="n">
        <v>46310</v>
      </c>
      <c r="P43" s="26" t="n"/>
      <c r="Q43" s="26" t="inlineStr">
        <is>
          <t>Automated: CddTests.Ubo_pep_propagates</t>
        </is>
      </c>
    </row>
    <row r="44" ht="22.35" customHeight="1" s="15">
      <c r="A44" s="25" t="inlineStr">
        <is>
          <t>TC-CDD-013</t>
        </is>
      </c>
      <c r="B44" s="25" t="inlineStr">
        <is>
          <t>Customer Acceptance, CDD &amp; Beneficial Ownership</t>
        </is>
      </c>
      <c r="C44" s="25" t="inlineStr">
        <is>
          <t>§18</t>
        </is>
      </c>
      <c r="D44" s="25" t="inlineStr">
        <is>
          <t>Missing UBO information flagged</t>
        </is>
      </c>
      <c r="E44" s="25" t="inlineStr">
        <is>
          <t>Corporate without owners</t>
        </is>
      </c>
      <c r="F44" s="25" t="inlineStr">
        <is>
          <t>1. Run assessment</t>
        </is>
      </c>
      <c r="G44" s="25" t="inlineStr">
        <is>
          <t>—</t>
        </is>
      </c>
      <c r="H44" s="25" t="inlineStr">
        <is>
          <t>Missing data recorded explicitly; not treated as zero risk; KYC gap shown</t>
        </is>
      </c>
      <c r="I44" s="25" t="inlineStr">
        <is>
          <t>P1</t>
        </is>
      </c>
      <c r="J44" s="25" t="inlineStr">
        <is>
          <t>Functional</t>
        </is>
      </c>
      <c r="K44" s="25" t="inlineStr">
        <is>
          <t>Integration</t>
        </is>
      </c>
      <c r="L44" s="26" t="inlineStr">
        <is>
          <t>Pass</t>
        </is>
      </c>
      <c r="M44" s="26" t="inlineStr">
        <is>
          <t>UBO data status Missing scored 80.0000 (missing-data score, not zero); KYC gap 'Missing beneficial ownership information' shown.</t>
        </is>
      </c>
      <c r="N44" s="26" t="inlineStr">
        <is>
          <t>Claude (automated test suite)</t>
        </is>
      </c>
      <c r="O44" s="27" t="n">
        <v>46310</v>
      </c>
      <c r="P44" s="26" t="n"/>
      <c r="Q44" s="26" t="inlineStr">
        <is>
          <t>Automated: CddTests.Missing_ubo_flagged</t>
        </is>
      </c>
    </row>
    <row r="45" ht="22.35" customHeight="1" s="15">
      <c r="A45" s="25" t="inlineStr">
        <is>
          <t>TC-CDD-014</t>
        </is>
      </c>
      <c r="B45" s="25" t="inlineStr">
        <is>
          <t>Customer Acceptance, CDD &amp; Beneficial Ownership</t>
        </is>
      </c>
      <c r="C45" s="25" t="inlineStr">
        <is>
          <t>§18</t>
        </is>
      </c>
      <c r="D45" s="25" t="inlineStr">
        <is>
          <t>Relationship exit workflow with approval</t>
        </is>
      </c>
      <c r="E45" s="25" t="inlineStr">
        <is>
          <t>Customer active</t>
        </is>
      </c>
      <c r="F45" s="25" t="inlineStr">
        <is>
          <t>1. Initiate exit with reason
2. Approve as second user</t>
        </is>
      </c>
      <c r="G45" s="25" t="inlineStr">
        <is>
          <t>—</t>
        </is>
      </c>
      <c r="H45" s="25" t="inlineStr">
        <is>
          <t>Status Exited; reason, approver, evidence recorded</t>
        </is>
      </c>
      <c r="I45" s="25" t="inlineStr">
        <is>
          <t>P2</t>
        </is>
      </c>
      <c r="J45" s="25" t="inlineStr">
        <is>
          <t>Functional</t>
        </is>
      </c>
      <c r="K45" s="25" t="inlineStr">
        <is>
          <t>E2E</t>
        </is>
      </c>
      <c r="L45" s="26" t="inlineStr">
        <is>
          <t>Pass</t>
        </is>
      </c>
      <c r="M45" s="26" t="inlineStr">
        <is>
          <t>Exit requested by officer, approved by senior (senior); status Exited; Operations user sees only neutral code RISK_APPETITE, no internal reason or case link.</t>
        </is>
      </c>
      <c r="N45" s="26" t="inlineStr">
        <is>
          <t>Claude (automated test suite)</t>
        </is>
      </c>
      <c r="O45" s="27" t="n">
        <v>46310</v>
      </c>
      <c r="P45" s="26" t="n"/>
      <c r="Q45" s="26" t="inlineStr">
        <is>
          <t>Automated: CddTests.Exit_workflow_and_neutral_view</t>
        </is>
      </c>
    </row>
    <row r="46" ht="22.35" customHeight="1" s="15">
      <c r="A46" s="25" t="inlineStr">
        <is>
          <t>TC-CDD-015</t>
        </is>
      </c>
      <c r="B46" s="25" t="inlineStr">
        <is>
          <t>Customer Acceptance, CDD &amp; Beneficial Ownership</t>
        </is>
      </c>
      <c r="C46" s="25" t="inlineStr">
        <is>
          <t>§18</t>
        </is>
      </c>
      <c r="D46" s="25" t="inlineStr">
        <is>
          <t>Do-not-onboard list checked at onboarding</t>
        </is>
      </c>
      <c r="E46" s="25" t="inlineStr">
        <is>
          <t>Exited customer on internal list</t>
        </is>
      </c>
      <c r="F46" s="25" t="inlineStr">
        <is>
          <t>1. Onboard new customer with same ID token</t>
        </is>
      </c>
      <c r="G46" s="25" t="inlineStr">
        <is>
          <t>—</t>
        </is>
      </c>
      <c r="H46" s="25" t="inlineStr">
        <is>
          <t>Match raised; onboarding blocked pending review</t>
        </is>
      </c>
      <c r="I46" s="25" t="inlineStr">
        <is>
          <t>P1</t>
        </is>
      </c>
      <c r="J46" s="25" t="inlineStr">
        <is>
          <t>Functional</t>
        </is>
      </c>
      <c r="K46" s="25" t="inlineStr">
        <is>
          <t>Integration</t>
        </is>
      </c>
      <c r="L46" s="26" t="inlineStr">
        <is>
          <t>Pass</t>
        </is>
      </c>
      <c r="M46" s="26" t="inlineStr">
        <is>
          <t>New customer with same ID token matched internal do-not-onboard list (identity-token); onboarding pending review (SCREENING_MATCH_REVIEW).</t>
        </is>
      </c>
      <c r="N46" s="26" t="inlineStr">
        <is>
          <t>Claude (automated test suite)</t>
        </is>
      </c>
      <c r="O46" s="27" t="n">
        <v>46310</v>
      </c>
      <c r="P46" s="26" t="n"/>
      <c r="Q46" s="26" t="inlineStr">
        <is>
          <t>Automated: CddTests.Do_not_onboard_check</t>
        </is>
      </c>
    </row>
    <row r="47" ht="22.35" customHeight="1" s="15">
      <c r="A47" s="25" t="inlineStr">
        <is>
          <t>TC-CDD-016</t>
        </is>
      </c>
      <c r="B47" s="25" t="inlineStr">
        <is>
          <t>Customer Acceptance, CDD &amp; Beneficial Ownership</t>
        </is>
      </c>
      <c r="C47" s="25" t="inlineStr">
        <is>
          <t>§18</t>
        </is>
      </c>
      <c r="D47" s="25" t="inlineStr">
        <is>
          <t>Exit does not expose suspicion reason</t>
        </is>
      </c>
      <c r="E47" s="25" t="inlineStr">
        <is>
          <t>Exit linked to restricted case</t>
        </is>
      </c>
      <c r="F47" s="25" t="inlineStr">
        <is>
          <t>1. View exit record as Operations User</t>
        </is>
      </c>
      <c r="G47" s="25" t="inlineStr">
        <is>
          <t>—</t>
        </is>
      </c>
      <c r="H47" s="25" t="inlineStr">
        <is>
          <t>Neutral reason code shown; case link hidden</t>
        </is>
      </c>
      <c r="I47" s="25" t="inlineStr">
        <is>
          <t>P1</t>
        </is>
      </c>
      <c r="J47" s="25" t="inlineStr">
        <is>
          <t>Security</t>
        </is>
      </c>
      <c r="K47" s="25" t="inlineStr">
        <is>
          <t>E2E</t>
        </is>
      </c>
      <c r="L47" s="26" t="inlineStr">
        <is>
          <t>Pass</t>
        </is>
      </c>
      <c r="M47" s="26" t="inlineStr">
        <is>
          <t>Exit requested by officer, approved by senior (senior); status Exited; Operations user sees only neutral code RISK_APPETITE, no internal reason or case link.</t>
        </is>
      </c>
      <c r="N47" s="26" t="inlineStr">
        <is>
          <t>Claude (automated test suite)</t>
        </is>
      </c>
      <c r="O47" s="27" t="n">
        <v>46310</v>
      </c>
      <c r="P47" s="26" t="n"/>
      <c r="Q47" s="26" t="inlineStr">
        <is>
          <t>Automated: CddTests.Exit_workflow_and_neutral_view</t>
        </is>
      </c>
    </row>
    <row r="48" ht="22.35" customHeight="1" s="15">
      <c r="A48" s="25" t="inlineStr">
        <is>
          <t>TC-RCF-001</t>
        </is>
      </c>
      <c r="B48" s="25" t="inlineStr">
        <is>
          <t>Risk Methodology Configuration</t>
        </is>
      </c>
      <c r="C48" s="25" t="inlineStr">
        <is>
          <t>§5</t>
        </is>
      </c>
      <c r="D48" s="25" t="inlineStr">
        <is>
          <t>Create methodology draft</t>
        </is>
      </c>
      <c r="E48" s="25" t="inlineStr">
        <is>
          <t>Admin with risk-config permission</t>
        </is>
      </c>
      <c r="F48" s="25" t="inlineStr">
        <is>
          <t>1. Create methodology v1 with categories and factors</t>
        </is>
      </c>
      <c r="G48" s="25" t="inlineStr">
        <is>
          <t>—</t>
        </is>
      </c>
      <c r="H48" s="25" t="inlineStr">
        <is>
          <t>Draft saved; not used for assessments</t>
        </is>
      </c>
      <c r="I48" s="25" t="inlineStr">
        <is>
          <t>P1</t>
        </is>
      </c>
      <c r="J48" s="25" t="inlineStr">
        <is>
          <t>Functional</t>
        </is>
      </c>
      <c r="K48" s="25" t="inlineStr">
        <is>
          <t>E2E</t>
        </is>
      </c>
      <c r="L48" s="26" t="inlineStr">
        <is>
          <t>Pass</t>
        </is>
      </c>
      <c r="M48" s="26" t="inlineStr">
        <is>
          <t>Draft saved and not used (assessment used UT_443D0CD1); self-approval by creator rejected (403: Segregation of duties: Risk methodology approval must be approved by a different user than the requester (manager).); approval by senior → Approved.</t>
        </is>
      </c>
      <c r="N48" s="26" t="inlineStr">
        <is>
          <t>Claude (automated test suite)</t>
        </is>
      </c>
      <c r="O48" s="27" t="n">
        <v>46310</v>
      </c>
      <c r="P48" s="26" t="n"/>
      <c r="Q48" s="26" t="inlineStr">
        <is>
          <t>Automated: RiskConfigTests.Draft_and_four_eyes</t>
        </is>
      </c>
    </row>
    <row r="49" ht="22.35" customHeight="1" s="15">
      <c r="A49" s="25" t="inlineStr">
        <is>
          <t>TC-RCF-002</t>
        </is>
      </c>
      <c r="B49" s="25" t="inlineStr">
        <is>
          <t>Risk Methodology Configuration</t>
        </is>
      </c>
      <c r="C49" s="25" t="inlineStr">
        <is>
          <t>§5</t>
        </is>
      </c>
      <c r="D49" s="25" t="inlineStr">
        <is>
          <t>Publish requires approval (four-eyes)</t>
        </is>
      </c>
      <c r="E49" s="25" t="inlineStr">
        <is>
          <t>Draft methodology</t>
        </is>
      </c>
      <c r="F49" s="25" t="inlineStr">
        <is>
          <t>1. Same user who created tries to approve</t>
        </is>
      </c>
      <c r="G49" s="25" t="inlineStr">
        <is>
          <t>—</t>
        </is>
      </c>
      <c r="H49" s="25" t="inlineStr">
        <is>
          <t>Approval rejected; different approver required</t>
        </is>
      </c>
      <c r="I49" s="25" t="inlineStr">
        <is>
          <t>P1</t>
        </is>
      </c>
      <c r="J49" s="25" t="inlineStr">
        <is>
          <t>Security</t>
        </is>
      </c>
      <c r="K49" s="25" t="inlineStr">
        <is>
          <t>API</t>
        </is>
      </c>
      <c r="L49" s="26" t="inlineStr">
        <is>
          <t>Pass</t>
        </is>
      </c>
      <c r="M49" s="26" t="inlineStr">
        <is>
          <t>Draft saved and not used (assessment used UT_443D0CD1); self-approval by creator rejected (403: Segregation of duties: Risk methodology approval must be approved by a different user than the requester (manager).); approval by senior → Approved.</t>
        </is>
      </c>
      <c r="N49" s="26" t="inlineStr">
        <is>
          <t>Claude (automated test suite)</t>
        </is>
      </c>
      <c r="O49" s="27" t="n">
        <v>46310</v>
      </c>
      <c r="P49" s="26" t="n"/>
      <c r="Q49" s="26" t="inlineStr">
        <is>
          <t>Automated: RiskConfigTests.Draft_and_four_eyes</t>
        </is>
      </c>
    </row>
    <row r="50" ht="22.35" customHeight="1" s="15">
      <c r="A50" s="25" t="inlineStr">
        <is>
          <t>TC-RCF-003</t>
        </is>
      </c>
      <c r="B50" s="25" t="inlineStr">
        <is>
          <t>Risk Methodology Configuration</t>
        </is>
      </c>
      <c r="C50" s="25" t="inlineStr">
        <is>
          <t>§5</t>
        </is>
      </c>
      <c r="D50" s="25" t="inlineStr">
        <is>
          <t>Only one active methodology per effective date</t>
        </is>
      </c>
      <c r="E50" s="25" t="inlineStr">
        <is>
          <t>v1 active</t>
        </is>
      </c>
      <c r="F50" s="25" t="inlineStr">
        <is>
          <t>1. Publish v2 effective 2026-11-01</t>
        </is>
      </c>
      <c r="G50" s="25" t="inlineStr">
        <is>
          <t>—</t>
        </is>
      </c>
      <c r="H50" s="25" t="inlineStr">
        <is>
          <t>v1 used before date; v2 after; no overlap error</t>
        </is>
      </c>
      <c r="I50" s="25" t="inlineStr">
        <is>
          <t>P1</t>
        </is>
      </c>
      <c r="J50" s="25" t="inlineStr">
        <is>
          <t>Functional</t>
        </is>
      </c>
      <c r="K50" s="25" t="inlineStr">
        <is>
          <t>Integration</t>
        </is>
      </c>
      <c r="L50" s="26" t="inlineStr">
        <is>
          <t>Pass</t>
        </is>
      </c>
      <c r="M50" s="26" t="inlineStr">
        <is>
          <t>v1 (from 2030-01-01) and v2 (from 2030-11-01) approved without overlap error; as-of 2030-10-15 used UT_49B6DE1D v1, as-of 2030-11-05 used v2; versions + config snapshot stored per assessment.</t>
        </is>
      </c>
      <c r="N50" s="26" t="inlineStr">
        <is>
          <t>Claude (automated test suite)</t>
        </is>
      </c>
      <c r="O50" s="27" t="n">
        <v>46310</v>
      </c>
      <c r="P50" s="26" t="n"/>
      <c r="Q50" s="26" t="inlineStr">
        <is>
          <t>Automated: RiskConfigTests.Methodology_by_effective_date</t>
        </is>
      </c>
    </row>
    <row r="51" ht="22.35" customHeight="1" s="15">
      <c r="A51" s="25" t="inlineStr">
        <is>
          <t>TC-RCF-004</t>
        </is>
      </c>
      <c r="B51" s="25" t="inlineStr">
        <is>
          <t>Risk Methodology Configuration</t>
        </is>
      </c>
      <c r="C51" s="25" t="inlineStr">
        <is>
          <t>§5</t>
        </is>
      </c>
      <c r="D51" s="25" t="inlineStr">
        <is>
          <t>Score mapping range coverage</t>
        </is>
      </c>
      <c r="E51" s="25" t="inlineStr">
        <is>
          <t>Factor with ranges 0–100</t>
        </is>
      </c>
      <c r="F51" s="25" t="inlineStr">
        <is>
          <t>1. Define overlapping ranges 0–50 and 40–100 with same priority</t>
        </is>
      </c>
      <c r="G51" s="25" t="inlineStr">
        <is>
          <t>—</t>
        </is>
      </c>
      <c r="H51" s="25" t="inlineStr">
        <is>
          <t>Validation error on overlap</t>
        </is>
      </c>
      <c r="I51" s="25" t="inlineStr">
        <is>
          <t>P2</t>
        </is>
      </c>
      <c r="J51" s="25" t="inlineStr">
        <is>
          <t>Negative</t>
        </is>
      </c>
      <c r="K51" s="25" t="inlineStr">
        <is>
          <t>Unit</t>
        </is>
      </c>
      <c r="L51" s="26" t="inlineStr">
        <is>
          <t>Pass</t>
        </is>
      </c>
      <c r="M51" s="26" t="inlineStr">
        <is>
          <t>Overlap 0-50 / 40-100 at same priority -&gt; validation error; different priorities accepted | Overlapping mapping ranges [0..50]/[40..100] same priority rejected (400: Factor RNG: overlapping ranges [0..50] and [40..100] with the same priority 1.); threshold gap 25–29.99 blocks submission: Threshold gap between Low (ends 24.99) and Medium (starts 30): scores 25.00-29.99 are unmapped.</t>
        </is>
      </c>
      <c r="N51" s="26" t="inlineStr">
        <is>
          <t>Claude (automated test suite)</t>
        </is>
      </c>
      <c r="O51" s="27" t="n">
        <v>46310</v>
      </c>
      <c r="P51" s="26" t="n"/>
      <c r="Q51" s="26" t="inlineStr">
        <is>
          <t>Automated: RiskEngineTests.Overlapping_ranges_same_priority_rejected; RiskConfigTests.Validation_overlap_and_gap</t>
        </is>
      </c>
    </row>
    <row r="52" ht="22.35" customHeight="1" s="15">
      <c r="A52" s="25" t="inlineStr">
        <is>
          <t>TC-RCF-005</t>
        </is>
      </c>
      <c r="B52" s="25" t="inlineStr">
        <is>
          <t>Risk Methodology Configuration</t>
        </is>
      </c>
      <c r="C52" s="25" t="inlineStr">
        <is>
          <t>§5</t>
        </is>
      </c>
      <c r="D52" s="25" t="inlineStr">
        <is>
          <t>Score mapping priority resolution</t>
        </is>
      </c>
      <c r="E52" s="25" t="inlineStr">
        <is>
          <t>Two mappings match with different priority</t>
        </is>
      </c>
      <c r="F52" s="25" t="inlineStr">
        <is>
          <t>1. Evaluate value matching both</t>
        </is>
      </c>
      <c r="G52" s="25" t="inlineStr">
        <is>
          <t>—</t>
        </is>
      </c>
      <c r="H52" s="25" t="inlineStr">
        <is>
          <t>Higher-priority mapping applied</t>
        </is>
      </c>
      <c r="I52" s="25" t="inlineStr">
        <is>
          <t>P2</t>
        </is>
      </c>
      <c r="J52" s="25" t="inlineStr">
        <is>
          <t>Functional</t>
        </is>
      </c>
      <c r="K52" s="25" t="inlineStr">
        <is>
          <t>Unit</t>
        </is>
      </c>
      <c r="L52" s="26" t="inlineStr">
        <is>
          <t>Pass</t>
        </is>
      </c>
      <c r="M52" s="26" t="inlineStr">
        <is>
          <t>Value 50 matching both -&gt; priority 5 mapping (70) applied</t>
        </is>
      </c>
      <c r="N52" s="26" t="inlineStr">
        <is>
          <t>Claude (automated test suite)</t>
        </is>
      </c>
      <c r="O52" s="27" t="n">
        <v>46310</v>
      </c>
      <c r="P52" s="26" t="n"/>
      <c r="Q52" s="26" t="inlineStr">
        <is>
          <t>Automated: RiskEngineTests.Higher_priority_mapping_wins</t>
        </is>
      </c>
    </row>
    <row r="53" ht="22.35" customHeight="1" s="15">
      <c r="A53" s="25" t="inlineStr">
        <is>
          <t>TC-RCF-006</t>
        </is>
      </c>
      <c r="B53" s="25" t="inlineStr">
        <is>
          <t>Risk Methodology Configuration</t>
        </is>
      </c>
      <c r="C53" s="25" t="inlineStr">
        <is>
          <t>§5</t>
        </is>
      </c>
      <c r="D53" s="25" t="inlineStr">
        <is>
          <t>Threshold gaps rejected</t>
        </is>
      </c>
      <c r="E53" s="25" t="inlineStr">
        <is>
          <t>Thresholds Low 0–24.99, Medium 30–49.99</t>
        </is>
      </c>
      <c r="F53" s="25" t="inlineStr">
        <is>
          <t>1. Publish</t>
        </is>
      </c>
      <c r="G53" s="25" t="inlineStr">
        <is>
          <t>—</t>
        </is>
      </c>
      <c r="H53" s="25" t="inlineStr">
        <is>
          <t>Validation error for gap 25–29.99</t>
        </is>
      </c>
      <c r="I53" s="25" t="inlineStr">
        <is>
          <t>P1</t>
        </is>
      </c>
      <c r="J53" s="25" t="inlineStr">
        <is>
          <t>Negative</t>
        </is>
      </c>
      <c r="K53" s="25" t="inlineStr">
        <is>
          <t>Unit</t>
        </is>
      </c>
      <c r="L53" s="26" t="inlineStr">
        <is>
          <t>Pass</t>
        </is>
      </c>
      <c r="M53" s="26" t="inlineStr">
        <is>
          <t>Threshold gap between Low (ends 24.99) and Medium (starts 30): scores 25.00-29.99 are unmapped. | Overlapping mapping ranges [0..50]/[40..100] same priority rejected (400: Factor RNG: overlapping ranges [0..50] and [40..100] with the same priority 1.); threshold gap 25–29.99 blocks submission: Threshold gap between Low (ends 24.99) and Medium (starts 30): scores 25.00-29.99 are unmapped.</t>
        </is>
      </c>
      <c r="N53" s="26" t="inlineStr">
        <is>
          <t>Claude (automated test suite)</t>
        </is>
      </c>
      <c r="O53" s="27" t="n">
        <v>46310</v>
      </c>
      <c r="P53" s="26" t="n"/>
      <c r="Q53" s="26" t="inlineStr">
        <is>
          <t>Automated: RiskEngineTests.Threshold_gap_rejected; RiskConfigTests.Validation_overlap_and_gap</t>
        </is>
      </c>
    </row>
    <row r="54" ht="22.35" customHeight="1" s="15">
      <c r="A54" s="25" t="inlineStr">
        <is>
          <t>TC-RCF-007</t>
        </is>
      </c>
      <c r="B54" s="25" t="inlineStr">
        <is>
          <t>Risk Methodology Configuration</t>
        </is>
      </c>
      <c r="C54" s="25" t="inlineStr">
        <is>
          <t>§5</t>
        </is>
      </c>
      <c r="D54" s="25" t="inlineStr">
        <is>
          <t>Weights validation per method</t>
        </is>
      </c>
      <c r="E54" s="25" t="inlineStr">
        <is>
          <t>Weighted average method</t>
        </is>
      </c>
      <c r="F54" s="25" t="inlineStr">
        <is>
          <t>1. Set weights summing to 0</t>
        </is>
      </c>
      <c r="G54" s="25" t="inlineStr">
        <is>
          <t>—</t>
        </is>
      </c>
      <c r="H54" s="25" t="inlineStr">
        <is>
          <t>Validation error</t>
        </is>
      </c>
      <c r="I54" s="25" t="inlineStr">
        <is>
          <t>P2</t>
        </is>
      </c>
      <c r="J54" s="25" t="inlineStr">
        <is>
          <t>Negative</t>
        </is>
      </c>
      <c r="K54" s="25" t="inlineStr">
        <is>
          <t>Unit</t>
        </is>
      </c>
      <c r="L54" s="26" t="inlineStr">
        <is>
          <t>Pass</t>
        </is>
      </c>
      <c r="M54" s="26" t="inlineStr">
        <is>
          <t>Weighted average with weights summing to 0 -&gt; validation error | Weighted-average with weights summing to 0 → Weights must sum to a positive value for weighted-average aggregation.</t>
        </is>
      </c>
      <c r="N54" s="26" t="inlineStr">
        <is>
          <t>Claude (automated test suite)</t>
        </is>
      </c>
      <c r="O54" s="27" t="n">
        <v>46310</v>
      </c>
      <c r="P54" s="26" t="n"/>
      <c r="Q54" s="26" t="inlineStr">
        <is>
          <t>Automated: RiskEngineTests.Weights_summing_to_zero_rejected; RiskConfigTests.Zero_weights_rejected</t>
        </is>
      </c>
    </row>
    <row r="55" ht="22.35" customHeight="1" s="15">
      <c r="A55" s="25" t="inlineStr">
        <is>
          <t>TC-RCF-008</t>
        </is>
      </c>
      <c r="B55" s="25" t="inlineStr">
        <is>
          <t>Risk Methodology Configuration</t>
        </is>
      </c>
      <c r="C55" s="25" t="inlineStr">
        <is>
          <t>§5</t>
        </is>
      </c>
      <c r="D55" s="25" t="inlineStr">
        <is>
          <t>Simulator shows full breakdown</t>
        </is>
      </c>
      <c r="E55" s="25" t="inlineStr">
        <is>
          <t>Draft methodology</t>
        </is>
      </c>
      <c r="F55" s="25" t="inlineStr">
        <is>
          <t>1. Run simulate with sample input</t>
        </is>
      </c>
      <c r="G55" s="25" t="inlineStr">
        <is>
          <t>sample customer JSON</t>
        </is>
      </c>
      <c r="H55" s="25" t="inlineStr">
        <is>
          <t>Factor scores, weights, contributions, overrides, final score and level shown; nothing persisted</t>
        </is>
      </c>
      <c r="I55" s="25" t="inlineStr">
        <is>
          <t>P1</t>
        </is>
      </c>
      <c r="J55" s="25" t="inlineStr">
        <is>
          <t>Functional</t>
        </is>
      </c>
      <c r="K55" s="25" t="inlineStr">
        <is>
          <t>API</t>
        </is>
      </c>
      <c r="L55" s="26" t="inlineStr">
        <is>
          <t>Pass</t>
        </is>
      </c>
      <c r="M55" s="26" t="inlineStr">
        <is>
          <t>Simulation: score 90.00 level Critical, 1 factor(s) with weights/contributions, overrides []; persisted=false; assessments table count unchanged (24); invalid methodology reference → 404.</t>
        </is>
      </c>
      <c r="N55" s="26" t="inlineStr">
        <is>
          <t>Claude (automated test suite)</t>
        </is>
      </c>
      <c r="O55" s="27" t="n">
        <v>46310</v>
      </c>
      <c r="P55" s="26" t="n"/>
      <c r="Q55" s="26" t="inlineStr">
        <is>
          <t>Automated: RiskConfigTests.Simulation_not_persisted</t>
        </is>
      </c>
    </row>
    <row r="56" ht="22.35" customHeight="1" s="15">
      <c r="A56" s="25" t="inlineStr">
        <is>
          <t>TC-RCF-009</t>
        </is>
      </c>
      <c r="B56" s="25" t="inlineStr">
        <is>
          <t>Risk Methodology Configuration</t>
        </is>
      </c>
      <c r="C56" s="25" t="inlineStr">
        <is>
          <t>§5</t>
        </is>
      </c>
      <c r="D56" s="25" t="inlineStr">
        <is>
          <t>Simulation does not create assessments</t>
        </is>
      </c>
      <c r="E56" s="25" t="inlineStr">
        <is>
          <t>—</t>
        </is>
      </c>
      <c r="F56" s="25" t="inlineStr">
        <is>
          <t>1. Run simulate
2. Query assessments table</t>
        </is>
      </c>
      <c r="G56" s="25" t="inlineStr">
        <is>
          <t>—</t>
        </is>
      </c>
      <c r="H56" s="25" t="inlineStr">
        <is>
          <t>No new assessment rows</t>
        </is>
      </c>
      <c r="I56" s="25" t="inlineStr">
        <is>
          <t>P2</t>
        </is>
      </c>
      <c r="J56" s="25" t="inlineStr">
        <is>
          <t>Functional</t>
        </is>
      </c>
      <c r="K56" s="25" t="inlineStr">
        <is>
          <t>Integration</t>
        </is>
      </c>
      <c r="L56" s="26" t="inlineStr">
        <is>
          <t>Pass</t>
        </is>
      </c>
      <c r="M56" s="26" t="inlineStr">
        <is>
          <t>Simulation: score 90.00 level Critical, 1 factor(s) with weights/contributions, overrides []; persisted=false; assessments table count unchanged (24); invalid methodology reference → 404.</t>
        </is>
      </c>
      <c r="N56" s="26" t="inlineStr">
        <is>
          <t>Claude (automated test suite)</t>
        </is>
      </c>
      <c r="O56" s="27" t="n">
        <v>46310</v>
      </c>
      <c r="P56" s="26" t="n"/>
      <c r="Q56" s="26" t="inlineStr">
        <is>
          <t>Automated: RiskConfigTests.Simulation_not_persisted</t>
        </is>
      </c>
    </row>
    <row r="57" ht="22.35" customHeight="1" s="15">
      <c r="A57" s="25" t="inlineStr">
        <is>
          <t>TC-RCF-010</t>
        </is>
      </c>
      <c r="B57" s="25" t="inlineStr">
        <is>
          <t>Risk Methodology Configuration</t>
        </is>
      </c>
      <c r="C57" s="25" t="inlineStr">
        <is>
          <t>§5</t>
        </is>
      </c>
      <c r="D57" s="25" t="inlineStr">
        <is>
          <t>Seed thresholds labelled as examples</t>
        </is>
      </c>
      <c r="E57" s="25" t="inlineStr">
        <is>
          <t>Fresh install</t>
        </is>
      </c>
      <c r="F57" s="25" t="inlineStr">
        <is>
          <t>1. Open thresholds</t>
        </is>
      </c>
      <c r="G57" s="25" t="inlineStr">
        <is>
          <t>—</t>
        </is>
      </c>
      <c r="H57" s="25" t="inlineStr">
        <is>
          <t>Seed values marked sample/not regulatory</t>
        </is>
      </c>
      <c r="I57" s="25" t="inlineStr">
        <is>
          <t>P3</t>
        </is>
      </c>
      <c r="J57" s="25" t="inlineStr">
        <is>
          <t>UI</t>
        </is>
      </c>
      <c r="K57" s="25" t="inlineStr">
        <is>
          <t>E2E</t>
        </is>
      </c>
      <c r="L57" s="26" t="inlineStr">
        <is>
          <t>Pass</t>
        </is>
      </c>
      <c r="M57" s="26" t="inlineStr">
        <is>
          <t>Seed methodology CRA-STD and all its thresholds flagged isSample=true (labelled 'example – not regulatory').</t>
        </is>
      </c>
      <c r="N57" s="26" t="inlineStr">
        <is>
          <t>Claude (automated test suite)</t>
        </is>
      </c>
      <c r="O57" s="27" t="n">
        <v>46310</v>
      </c>
      <c r="P57" s="26" t="n"/>
      <c r="Q57" s="26" t="inlineStr">
        <is>
          <t>Automated: RiskConfigTests.Seed_thresholds_marked_sample</t>
        </is>
      </c>
    </row>
    <row r="58" ht="22.35" customHeight="1" s="15">
      <c r="A58" s="25" t="inlineStr">
        <is>
          <t>TC-RCF-011</t>
        </is>
      </c>
      <c r="B58" s="25" t="inlineStr">
        <is>
          <t>Risk Methodology Configuration</t>
        </is>
      </c>
      <c r="C58" s="25" t="inlineStr">
        <is>
          <t>§5</t>
        </is>
      </c>
      <c r="D58" s="25" t="inlineStr">
        <is>
          <t>Optimistic concurrency on factor edit</t>
        </is>
      </c>
      <c r="E58" s="25" t="inlineStr">
        <is>
          <t>Two admins edit same factor</t>
        </is>
      </c>
      <c r="F58" s="25" t="inlineStr">
        <is>
          <t>1. Both save</t>
        </is>
      </c>
      <c r="G58" s="25" t="inlineStr">
        <is>
          <t>—</t>
        </is>
      </c>
      <c r="H58" s="25" t="inlineStr">
        <is>
          <t>Second save returns 409</t>
        </is>
      </c>
      <c r="I58" s="25" t="inlineStr">
        <is>
          <t>P2</t>
        </is>
      </c>
      <c r="J58" s="25" t="inlineStr">
        <is>
          <t>Functional</t>
        </is>
      </c>
      <c r="K58" s="25" t="inlineStr">
        <is>
          <t>API</t>
        </is>
      </c>
      <c r="L58" s="26" t="inlineStr">
        <is>
          <t>Pass</t>
        </is>
      </c>
      <c r="M58" s="26" t="inlineStr">
        <is>
          <t>First factor save succeeded; second save with stale rowVersion → 409.</t>
        </is>
      </c>
      <c r="N58" s="26" t="inlineStr">
        <is>
          <t>Claude (automated test suite)</t>
        </is>
      </c>
      <c r="O58" s="27" t="n">
        <v>46310</v>
      </c>
      <c r="P58" s="26" t="n"/>
      <c r="Q58" s="26" t="inlineStr">
        <is>
          <t>Automated: RiskConfigTests.Factor_concurrency</t>
        </is>
      </c>
    </row>
    <row r="59" ht="22.35" customHeight="1" s="15">
      <c r="A59" s="25" t="inlineStr">
        <is>
          <t>TC-RCF-012</t>
        </is>
      </c>
      <c r="B59" s="25" t="inlineStr">
        <is>
          <t>Risk Methodology Configuration</t>
        </is>
      </c>
      <c r="C59" s="25" t="inlineStr">
        <is>
          <t>§5</t>
        </is>
      </c>
      <c r="D59" s="25" t="inlineStr">
        <is>
          <t>Version history visible</t>
        </is>
      </c>
      <c r="E59" s="25" t="inlineStr">
        <is>
          <t>Methodology with 3 versions</t>
        </is>
      </c>
      <c r="F59" s="25" t="inlineStr">
        <is>
          <t>1. Open history</t>
        </is>
      </c>
      <c r="G59" s="25" t="inlineStr">
        <is>
          <t>—</t>
        </is>
      </c>
      <c r="H59" s="25" t="inlineStr">
        <is>
          <t>All versions with status, approver, effective dates</t>
        </is>
      </c>
      <c r="I59" s="25" t="inlineStr">
        <is>
          <t>P3</t>
        </is>
      </c>
      <c r="J59" s="25" t="inlineStr">
        <is>
          <t>UI</t>
        </is>
      </c>
      <c r="K59" s="25" t="inlineStr">
        <is>
          <t>E2E</t>
        </is>
      </c>
      <c r="L59" s="26" t="inlineStr">
        <is>
          <t>Pass</t>
        </is>
      </c>
      <c r="M59" s="26" t="inlineStr">
        <is>
          <t>History: v3 Draft approver= from 2035-01-01T00:00:00Z to ; v2 Approved approver=senior from 2035-01-01T00:00:00Z to ; v1 Superseded approver=senior from 2035-01-01T00:00:00Z to 2035-01-01T00:00:00Z; approval audit event with rationale retained.</t>
        </is>
      </c>
      <c r="N59" s="26" t="inlineStr">
        <is>
          <t>Claude (automated test suite)</t>
        </is>
      </c>
      <c r="O59" s="27" t="n">
        <v>46310</v>
      </c>
      <c r="P59" s="26" t="n"/>
      <c r="Q59" s="26" t="inlineStr">
        <is>
          <t>Automated: RiskConfigTests.Version_history</t>
        </is>
      </c>
    </row>
    <row r="60" ht="22.35" customHeight="1" s="15">
      <c r="A60" s="25" t="inlineStr">
        <is>
          <t>TC-RSK-001</t>
        </is>
      </c>
      <c r="B60" s="25" t="inlineStr">
        <is>
          <t>Risk Engine Calculation</t>
        </is>
      </c>
      <c r="C60" s="25" t="inlineStr">
        <is>
          <t>§5, §27</t>
        </is>
      </c>
      <c r="D60" s="25" t="inlineStr">
        <is>
          <t>Select methodology by assessment timestamp</t>
        </is>
      </c>
      <c r="E60" s="25" t="inlineStr">
        <is>
          <t>v1 until 2026-10-31, v2 after</t>
        </is>
      </c>
      <c r="F60" s="25" t="inlineStr">
        <is>
          <t>1. Reassess with as-of 2026-10-15 and 2026-11-05</t>
        </is>
      </c>
      <c r="G60" s="25" t="inlineStr">
        <is>
          <t>—</t>
        </is>
      </c>
      <c r="H60" s="25" t="inlineStr">
        <is>
          <t>Correct version used and stored per assessment</t>
        </is>
      </c>
      <c r="I60" s="25" t="inlineStr">
        <is>
          <t>P1</t>
        </is>
      </c>
      <c r="J60" s="25" t="inlineStr">
        <is>
          <t>Functional</t>
        </is>
      </c>
      <c r="K60" s="25" t="inlineStr">
        <is>
          <t>Unit</t>
        </is>
      </c>
      <c r="L60" s="26" t="inlineStr">
        <is>
          <t>Pass</t>
        </is>
      </c>
      <c r="M60" s="26" t="inlineStr">
        <is>
          <t>Configuration effective before 2026-11-01 used for 2026-10-15; later version for 2026-11-05 (methodology selection verified in integration test) | v1 (from 2030-01-01) and v2 (from 2030-11-01) approved without overlap error; as-of 2030-10-15 used UT_49B6DE1D v1, as-of 2030-11-05 used v2; versions + config snapshot stored per assessment.</t>
        </is>
      </c>
      <c r="N60" s="26" t="inlineStr">
        <is>
          <t>Claude (automated test suite)</t>
        </is>
      </c>
      <c r="O60" s="27" t="n">
        <v>46310</v>
      </c>
      <c r="P60" s="26" t="n"/>
      <c r="Q60" s="26" t="inlineStr">
        <is>
          <t>Automated: RiskEngineTests.Effective_dated_configuration_selected_by_timestamp; RiskConfigTests.Methodology_by_effective_date</t>
        </is>
      </c>
    </row>
    <row r="61" ht="15" customHeight="1" s="15">
      <c r="A61" s="25" t="inlineStr">
        <is>
          <t>TC-RSK-002</t>
        </is>
      </c>
      <c r="B61" s="25" t="inlineStr">
        <is>
          <t>Risk Engine Calculation</t>
        </is>
      </c>
      <c r="C61" s="25" t="inlineStr">
        <is>
          <t>§5, §27</t>
        </is>
      </c>
      <c r="D61" s="25" t="inlineStr">
        <is>
          <t>Only applicable factors evaluated</t>
        </is>
      </c>
      <c r="E61" s="25" t="inlineStr">
        <is>
          <t>Factor applicable to corporates only</t>
        </is>
      </c>
      <c r="F61" s="25" t="inlineStr">
        <is>
          <t>1. Assess individual</t>
        </is>
      </c>
      <c r="G61" s="25" t="inlineStr">
        <is>
          <t>—</t>
        </is>
      </c>
      <c r="H61" s="25" t="inlineStr">
        <is>
          <t>Factor excluded; explanation states 'not applicable'</t>
        </is>
      </c>
      <c r="I61" s="25" t="inlineStr">
        <is>
          <t>P1</t>
        </is>
      </c>
      <c r="J61" s="25" t="inlineStr">
        <is>
          <t>Functional</t>
        </is>
      </c>
      <c r="K61" s="25" t="inlineStr">
        <is>
          <t>Unit</t>
        </is>
      </c>
      <c r="L61" s="26" t="inlineStr">
        <is>
          <t>Pass</t>
        </is>
      </c>
      <c r="M61" s="26" t="inlineStr">
        <is>
          <t>Corporate-only factor excluded for Individual with 'Not applicable' explanation; score from applicable factors only</t>
        </is>
      </c>
      <c r="N61" s="26" t="inlineStr">
        <is>
          <t>Claude (automated test suite)</t>
        </is>
      </c>
      <c r="O61" s="27" t="n">
        <v>46310</v>
      </c>
      <c r="P61" s="26" t="n"/>
      <c r="Q61" s="26" t="inlineStr">
        <is>
          <t>Automated: RiskEngineTests.Non_applicable_factor_excluded_with_explanation</t>
        </is>
      </c>
    </row>
    <row r="62" ht="22.35" customHeight="1" s="15">
      <c r="A62" s="25" t="inlineStr">
        <is>
          <t>TC-RSK-003</t>
        </is>
      </c>
      <c r="B62" s="25" t="inlineStr">
        <is>
          <t>Risk Engine Calculation</t>
        </is>
      </c>
      <c r="C62" s="25" t="inlineStr">
        <is>
          <t>§5, §27</t>
        </is>
      </c>
      <c r="D62" s="25" t="inlineStr">
        <is>
          <t>Missing data not treated as zero</t>
        </is>
      </c>
      <c r="E62" s="25" t="inlineStr">
        <is>
          <t>Nationality missing</t>
        </is>
      </c>
      <c r="F62" s="25" t="inlineStr">
        <is>
          <t>1. Assess</t>
        </is>
      </c>
      <c r="G62" s="25" t="inlineStr">
        <is>
          <t>—</t>
        </is>
      </c>
      <c r="H62" s="25" t="inlineStr">
        <is>
          <t>Factor marked Missing; configured missing-data handling applied; warning shown</t>
        </is>
      </c>
      <c r="I62" s="25" t="inlineStr">
        <is>
          <t>P1</t>
        </is>
      </c>
      <c r="J62" s="25" t="inlineStr">
        <is>
          <t>Functional</t>
        </is>
      </c>
      <c r="K62" s="25" t="inlineStr">
        <is>
          <t>Unit</t>
        </is>
      </c>
      <c r="L62" s="26" t="inlineStr">
        <is>
          <t>Pass</t>
        </is>
      </c>
      <c r="M62" s="26" t="inlineStr">
        <is>
          <t>Missing factor marked Missing, scored with configured 100 (not 0) and warning raised; ExcludeWithWarning excludes explicitly with warning</t>
        </is>
      </c>
      <c r="N62" s="26" t="inlineStr">
        <is>
          <t>Claude (automated test suite)</t>
        </is>
      </c>
      <c r="O62" s="27" t="n">
        <v>46310</v>
      </c>
      <c r="P62" s="26" t="n"/>
      <c r="Q62" s="26" t="inlineStr">
        <is>
          <t>Automated: RiskEngineTests.Missing_data_is_not_zero_risk</t>
        </is>
      </c>
    </row>
    <row r="63" ht="22.35" customHeight="1" s="15">
      <c r="A63" s="25" t="inlineStr">
        <is>
          <t>TC-RSK-004</t>
        </is>
      </c>
      <c r="B63" s="25" t="inlineStr">
        <is>
          <t>Risk Engine Calculation</t>
        </is>
      </c>
      <c r="C63" s="25" t="inlineStr">
        <is>
          <t>§5, §27</t>
        </is>
      </c>
      <c r="D63" s="25" t="inlineStr">
        <is>
          <t>Normalization to 0–100</t>
        </is>
      </c>
      <c r="E63" s="25" t="inlineStr">
        <is>
          <t>Mapping returns 150 by misconfiguration</t>
        </is>
      </c>
      <c r="F63" s="25" t="inlineStr">
        <is>
          <t>1. Assess</t>
        </is>
      </c>
      <c r="G63" s="25" t="inlineStr">
        <is>
          <t>—</t>
        </is>
      </c>
      <c r="H63" s="25" t="inlineStr">
        <is>
          <t>Config validation prevents publish; engine never stores score &gt; 100</t>
        </is>
      </c>
      <c r="I63" s="25" t="inlineStr">
        <is>
          <t>P2</t>
        </is>
      </c>
      <c r="J63" s="25" t="inlineStr">
        <is>
          <t>Negative</t>
        </is>
      </c>
      <c r="K63" s="25" t="inlineStr">
        <is>
          <t>Unit</t>
        </is>
      </c>
      <c r="L63" s="26" t="inlineStr">
        <is>
          <t>Pass</t>
        </is>
      </c>
      <c r="M63" s="26" t="inlineStr">
        <is>
          <t>Validation error for mapping 150; engine clamps stored score to 100 with warning | Mapping score 150 rejected (400) / validation fails; max stored score in DB = 90.0000 (≤100).</t>
        </is>
      </c>
      <c r="N63" s="26" t="inlineStr">
        <is>
          <t>Claude (automated test suite)</t>
        </is>
      </c>
      <c r="O63" s="27" t="n">
        <v>46310</v>
      </c>
      <c r="P63" s="26" t="n"/>
      <c r="Q63" s="26" t="inlineStr">
        <is>
          <t>Automated: RiskEngineTests.Score_above_100_prevented_by_validation_and_clamped_by_engine; RiskConfigTests.Score_above_100_blocked</t>
        </is>
      </c>
    </row>
    <row r="64" ht="15" customHeight="1" s="15">
      <c r="A64" s="25" t="inlineStr">
        <is>
          <t>TC-RSK-005</t>
        </is>
      </c>
      <c r="B64" s="25" t="inlineStr">
        <is>
          <t>Risk Engine Calculation</t>
        </is>
      </c>
      <c r="C64" s="25" t="inlineStr">
        <is>
          <t>§5, §27</t>
        </is>
      </c>
      <c r="D64" s="25" t="inlineStr">
        <is>
          <t>Weighted average aggregation</t>
        </is>
      </c>
      <c r="E64" s="25" t="inlineStr">
        <is>
          <t>Factors 80(w0.5), 20(w0.5)</t>
        </is>
      </c>
      <c r="F64" s="25" t="inlineStr">
        <is>
          <t>1. Assess</t>
        </is>
      </c>
      <c r="G64" s="25" t="inlineStr">
        <is>
          <t>—</t>
        </is>
      </c>
      <c r="H64" s="25" t="inlineStr">
        <is>
          <t>Final score 50.00</t>
        </is>
      </c>
      <c r="I64" s="25" t="inlineStr">
        <is>
          <t>P1</t>
        </is>
      </c>
      <c r="J64" s="25" t="inlineStr">
        <is>
          <t>Functional</t>
        </is>
      </c>
      <c r="K64" s="25" t="inlineStr">
        <is>
          <t>Unit</t>
        </is>
      </c>
      <c r="L64" s="26" t="inlineStr">
        <is>
          <t>Pass</t>
        </is>
      </c>
      <c r="M64" s="26" t="inlineStr">
        <is>
          <t>Final score 50.00; contributions 40 and 10; level High</t>
        </is>
      </c>
      <c r="N64" s="26" t="inlineStr">
        <is>
          <t>Claude (automated test suite)</t>
        </is>
      </c>
      <c r="O64" s="27" t="n">
        <v>46310</v>
      </c>
      <c r="P64" s="26" t="n"/>
      <c r="Q64" s="26" t="inlineStr">
        <is>
          <t>Automated: RiskEngineTests.Weighted_average_80_and_20_equal_weights_is_50</t>
        </is>
      </c>
    </row>
    <row r="65" ht="15" customHeight="1" s="15">
      <c r="A65" s="25" t="inlineStr">
        <is>
          <t>TC-RSK-006</t>
        </is>
      </c>
      <c r="B65" s="25" t="inlineStr">
        <is>
          <t>Risk Engine Calculation</t>
        </is>
      </c>
      <c r="C65" s="25" t="inlineStr">
        <is>
          <t>§5, §27</t>
        </is>
      </c>
      <c r="D65" s="25" t="inlineStr">
        <is>
          <t>Maximum-factor aggregation</t>
        </is>
      </c>
      <c r="E65" s="25" t="inlineStr">
        <is>
          <t>Method=max; factors 90, 10</t>
        </is>
      </c>
      <c r="F65" s="25" t="inlineStr">
        <is>
          <t>1. Assess</t>
        </is>
      </c>
      <c r="G65" s="25" t="inlineStr">
        <is>
          <t>—</t>
        </is>
      </c>
      <c r="H65" s="25" t="inlineStr">
        <is>
          <t>Final score 90</t>
        </is>
      </c>
      <c r="I65" s="25" t="inlineStr">
        <is>
          <t>P2</t>
        </is>
      </c>
      <c r="J65" s="25" t="inlineStr">
        <is>
          <t>Functional</t>
        </is>
      </c>
      <c r="K65" s="25" t="inlineStr">
        <is>
          <t>Unit</t>
        </is>
      </c>
      <c r="L65" s="26" t="inlineStr">
        <is>
          <t>Pass</t>
        </is>
      </c>
      <c r="M65" s="26" t="inlineStr">
        <is>
          <t>Final score 90</t>
        </is>
      </c>
      <c r="N65" s="26" t="inlineStr">
        <is>
          <t>Claude (automated test suite)</t>
        </is>
      </c>
      <c r="O65" s="27" t="n">
        <v>46310</v>
      </c>
      <c r="P65" s="26" t="n"/>
      <c r="Q65" s="26" t="inlineStr">
        <is>
          <t>Automated: RiskEngineTests.Max_factor_aggregation</t>
        </is>
      </c>
    </row>
    <row r="66" ht="15" customHeight="1" s="15">
      <c r="A66" s="25" t="inlineStr">
        <is>
          <t>TC-RSK-007</t>
        </is>
      </c>
      <c r="B66" s="25" t="inlineStr">
        <is>
          <t>Risk Engine Calculation</t>
        </is>
      </c>
      <c r="C66" s="25" t="inlineStr">
        <is>
          <t>§5, §27</t>
        </is>
      </c>
      <c r="D66" s="25" t="inlineStr">
        <is>
          <t>Category matrix aggregation</t>
        </is>
      </c>
      <c r="E66" s="25" t="inlineStr">
        <is>
          <t>Matrix configured</t>
        </is>
      </c>
      <c r="F66" s="25" t="inlineStr">
        <is>
          <t>1. Assess with category High/Low combination</t>
        </is>
      </c>
      <c r="G66" s="25" t="inlineStr">
        <is>
          <t>—</t>
        </is>
      </c>
      <c r="H66" s="25" t="inlineStr">
        <is>
          <t>Level per matrix cell</t>
        </is>
      </c>
      <c r="I66" s="25" t="inlineStr">
        <is>
          <t>P2</t>
        </is>
      </c>
      <c r="J66" s="25" t="inlineStr">
        <is>
          <t>Functional</t>
        </is>
      </c>
      <c r="K66" s="25" t="inlineStr">
        <is>
          <t>Unit</t>
        </is>
      </c>
      <c r="L66" s="26" t="inlineStr">
        <is>
          <t>Pass</t>
        </is>
      </c>
      <c r="M66" s="26" t="inlineStr">
        <is>
          <t>Category GEO=60 (High), PROFILE=10 (Low) -&gt; matrix level High (weighted avg alone would be 35/Medium)</t>
        </is>
      </c>
      <c r="N66" s="26" t="inlineStr">
        <is>
          <t>Claude (automated test suite)</t>
        </is>
      </c>
      <c r="O66" s="27" t="n">
        <v>46310</v>
      </c>
      <c r="P66" s="26" t="n"/>
      <c r="Q66" s="26" t="inlineStr">
        <is>
          <t>Automated: RiskEngineTests.Category_matrix_maps_category_combination_to_level</t>
        </is>
      </c>
    </row>
    <row r="67" ht="15" customHeight="1" s="15">
      <c r="A67" s="25" t="inlineStr">
        <is>
          <t>TC-RSK-008</t>
        </is>
      </c>
      <c r="B67" s="25" t="inlineStr">
        <is>
          <t>Risk Engine Calculation</t>
        </is>
      </c>
      <c r="C67" s="25" t="inlineStr">
        <is>
          <t>§5, §27</t>
        </is>
      </c>
      <c r="D67" s="25" t="inlineStr">
        <is>
          <t>Category floor prevents dilution</t>
        </is>
      </c>
      <c r="E67" s="25" t="inlineStr">
        <is>
          <t>Floor: Geographic=High → min High</t>
        </is>
      </c>
      <c r="F67" s="25" t="inlineStr">
        <is>
          <t>1. High geographic, others low</t>
        </is>
      </c>
      <c r="G67" s="25" t="inlineStr">
        <is>
          <t>—</t>
        </is>
      </c>
      <c r="H67" s="25" t="inlineStr">
        <is>
          <t>Final level at least High; explanation cites floor</t>
        </is>
      </c>
      <c r="I67" s="25" t="inlineStr">
        <is>
          <t>P1</t>
        </is>
      </c>
      <c r="J67" s="25" t="inlineStr">
        <is>
          <t>Functional</t>
        </is>
      </c>
      <c r="K67" s="25" t="inlineStr">
        <is>
          <t>Unit</t>
        </is>
      </c>
      <c r="L67" s="26" t="inlineStr">
        <is>
          <t>Pass</t>
        </is>
      </c>
      <c r="M67" s="26" t="inlineStr">
        <is>
          <t>Calculated 17.14 (Low) -&gt; final High; explanation cites floor</t>
        </is>
      </c>
      <c r="N67" s="26" t="inlineStr">
        <is>
          <t>Claude (automated test suite)</t>
        </is>
      </c>
      <c r="O67" s="27" t="n">
        <v>46310</v>
      </c>
      <c r="P67" s="26" t="n"/>
      <c r="Q67" s="26" t="inlineStr">
        <is>
          <t>Automated: RiskEngineTests.Category_floor_prevents_dilution</t>
        </is>
      </c>
    </row>
    <row r="68" ht="15" customHeight="1" s="15">
      <c r="A68" s="25" t="inlineStr">
        <is>
          <t>TC-RSK-009</t>
        </is>
      </c>
      <c r="B68" s="25" t="inlineStr">
        <is>
          <t>Risk Engine Calculation</t>
        </is>
      </c>
      <c r="C68" s="25" t="inlineStr">
        <is>
          <t>§5, §27</t>
        </is>
      </c>
      <c r="D68" s="25" t="inlineStr">
        <is>
          <t>Mandatory override after scoring</t>
        </is>
      </c>
      <c r="E68" s="25" t="inlineStr">
        <is>
          <t>Override: PEP → min High</t>
        </is>
      </c>
      <c r="F68" s="25" t="inlineStr">
        <is>
          <t>1. PEP with score 20</t>
        </is>
      </c>
      <c r="G68" s="25" t="inlineStr">
        <is>
          <t>—</t>
        </is>
      </c>
      <c r="H68" s="25" t="inlineStr">
        <is>
          <t>Calculated 20 kept; final level High; override recorded</t>
        </is>
      </c>
      <c r="I68" s="25" t="inlineStr">
        <is>
          <t>P1</t>
        </is>
      </c>
      <c r="J68" s="25" t="inlineStr">
        <is>
          <t>Functional</t>
        </is>
      </c>
      <c r="K68" s="25" t="inlineStr">
        <is>
          <t>Unit</t>
        </is>
      </c>
      <c r="L68" s="26" t="inlineStr">
        <is>
          <t>Pass</t>
        </is>
      </c>
      <c r="M68" s="26" t="inlineStr">
        <is>
          <t>Calculated 20 (Low) retained; final High via override PEP: PEP =&gt; minimum High</t>
        </is>
      </c>
      <c r="N68" s="26" t="inlineStr">
        <is>
          <t>Claude (automated test suite)</t>
        </is>
      </c>
      <c r="O68" s="27" t="n">
        <v>46310</v>
      </c>
      <c r="P68" s="26" t="n"/>
      <c r="Q68" s="26" t="inlineStr">
        <is>
          <t>Automated: RiskEngineTests.Mandatory_override_after_scoring_keeps_calculated_score</t>
        </is>
      </c>
    </row>
    <row r="69" ht="22.35" customHeight="1" s="15">
      <c r="A69" s="25" t="inlineStr">
        <is>
          <t>TC-RSK-010</t>
        </is>
      </c>
      <c r="B69" s="25" t="inlineStr">
        <is>
          <t>Risk Engine Calculation</t>
        </is>
      </c>
      <c r="C69" s="25" t="inlineStr">
        <is>
          <t>§5, §27</t>
        </is>
      </c>
      <c r="D69" s="25" t="inlineStr">
        <is>
          <t>Confirmed sanctions match not reduced by low score</t>
        </is>
      </c>
      <c r="E69" s="25" t="inlineStr">
        <is>
          <t>Confirmed match</t>
        </is>
      </c>
      <c r="F69" s="25" t="inlineStr">
        <is>
          <t>1. Assess</t>
        </is>
      </c>
      <c r="G69" s="25" t="inlineStr">
        <is>
          <t>—</t>
        </is>
      </c>
      <c r="H69" s="25" t="inlineStr">
        <is>
          <t>Sanctions workflow level applied; never Low</t>
        </is>
      </c>
      <c r="I69" s="25" t="inlineStr">
        <is>
          <t>P1</t>
        </is>
      </c>
      <c r="J69" s="25" t="inlineStr">
        <is>
          <t>Functional</t>
        </is>
      </c>
      <c r="K69" s="25" t="inlineStr">
        <is>
          <t>Unit</t>
        </is>
      </c>
      <c r="L69" s="26" t="inlineStr">
        <is>
          <t>Pass</t>
        </is>
      </c>
      <c r="M69" s="26" t="inlineStr">
        <is>
          <t>Score 0 but final Critical with sanctions workflow flag | Confirmed sanctions match → calculated score 38.0000 but final level Critical via SANCTIONS_CONFIRMED mandatory override (sanctions workflow); override to Low blocked: Override blocked by policy: a confirmed sanctions match uses the dedicated sanctions workflow and cannot be lowered.</t>
        </is>
      </c>
      <c r="N69" s="26" t="inlineStr">
        <is>
          <t>Claude (automated test suite)</t>
        </is>
      </c>
      <c r="O69" s="27" t="n">
        <v>46310</v>
      </c>
      <c r="P69" s="26" t="n"/>
      <c r="Q69" s="26" t="inlineStr">
        <is>
          <t>Automated: RiskEngineTests.Confirmed_sanctions_never_low; OverrideTests.Sanctions_cannot_be_lowered</t>
        </is>
      </c>
    </row>
    <row r="70" ht="15" customHeight="1" s="15">
      <c r="A70" s="25" t="inlineStr">
        <is>
          <t>TC-RSK-011</t>
        </is>
      </c>
      <c r="B70" s="25" t="inlineStr">
        <is>
          <t>Risk Engine Calculation</t>
        </is>
      </c>
      <c r="C70" s="25" t="inlineStr">
        <is>
          <t>§5, §27</t>
        </is>
      </c>
      <c r="D70" s="25" t="inlineStr">
        <is>
          <t>Threshold boundary 24.99 vs 25.00</t>
        </is>
      </c>
      <c r="E70" s="25" t="inlineStr">
        <is>
          <t>Default thresholds</t>
        </is>
      </c>
      <c r="F70" s="25" t="inlineStr">
        <is>
          <t>1. Assess scores 24.99 and 25.00</t>
        </is>
      </c>
      <c r="G70" s="25" t="inlineStr">
        <is>
          <t>—</t>
        </is>
      </c>
      <c r="H70" s="25" t="inlineStr">
        <is>
          <t>Low and Medium respectively</t>
        </is>
      </c>
      <c r="I70" s="25" t="inlineStr">
        <is>
          <t>P1</t>
        </is>
      </c>
      <c r="J70" s="25" t="inlineStr">
        <is>
          <t>Functional</t>
        </is>
      </c>
      <c r="K70" s="25" t="inlineStr">
        <is>
          <t>Unit</t>
        </is>
      </c>
      <c r="L70" s="26" t="inlineStr">
        <is>
          <t>Pass</t>
        </is>
      </c>
      <c r="M70" s="26" t="inlineStr">
        <is>
          <t>0-&gt;Low, 24.99-&gt;Low, 25.00-&gt;Medium, 49.99-&gt;Medium, 50-&gt;High, 100-&gt;Critical</t>
        </is>
      </c>
      <c r="N70" s="26" t="inlineStr">
        <is>
          <t>Claude (automated test suite)</t>
        </is>
      </c>
      <c r="O70" s="27" t="n">
        <v>46310</v>
      </c>
      <c r="P70" s="26" t="n"/>
      <c r="Q70" s="26" t="inlineStr">
        <is>
          <t>Automated: RiskEngineTests.Threshold_boundaries_are_deterministic</t>
        </is>
      </c>
    </row>
    <row r="71" ht="22.35" customHeight="1" s="15">
      <c r="A71" s="25" t="inlineStr">
        <is>
          <t>TC-RSK-012</t>
        </is>
      </c>
      <c r="B71" s="25" t="inlineStr">
        <is>
          <t>Risk Engine Calculation</t>
        </is>
      </c>
      <c r="C71" s="25" t="inlineStr">
        <is>
          <t>§5, §27</t>
        </is>
      </c>
      <c r="D71" s="25" t="inlineStr">
        <is>
          <t>Decimal precision of score</t>
        </is>
      </c>
      <c r="E71" s="25" t="inlineStr">
        <is>
          <t>Weights producing repeating decimals</t>
        </is>
      </c>
      <c r="F71" s="25" t="inlineStr">
        <is>
          <t>1. Assess</t>
        </is>
      </c>
      <c r="G71" s="25" t="inlineStr">
        <is>
          <t>—</t>
        </is>
      </c>
      <c r="H71" s="25" t="inlineStr">
        <is>
          <t>Score rounded per configured precision consistently in DB and UI</t>
        </is>
      </c>
      <c r="I71" s="25" t="inlineStr">
        <is>
          <t>P3</t>
        </is>
      </c>
      <c r="J71" s="25" t="inlineStr">
        <is>
          <t>Functional</t>
        </is>
      </c>
      <c r="K71" s="25" t="inlineStr">
        <is>
          <t>Unit</t>
        </is>
      </c>
      <c r="L71" s="26" t="inlineStr">
        <is>
          <t>Pass</t>
        </is>
      </c>
      <c r="M71" s="26" t="inlineStr">
        <is>
          <t>35/3 = 11.666... stored as 11.67 (precision 2) and 12 (precision 0), MidpointRounding.AwayFromZero</t>
        </is>
      </c>
      <c r="N71" s="26" t="inlineStr">
        <is>
          <t>Claude (automated test suite)</t>
        </is>
      </c>
      <c r="O71" s="27" t="n">
        <v>46310</v>
      </c>
      <c r="P71" s="26" t="n"/>
      <c r="Q71" s="26" t="inlineStr">
        <is>
          <t>Automated: RiskEngineTests.Score_rounded_to_configured_precision</t>
        </is>
      </c>
    </row>
    <row r="72" ht="15" customHeight="1" s="15">
      <c r="A72" s="25" t="inlineStr">
        <is>
          <t>TC-RSK-013</t>
        </is>
      </c>
      <c r="B72" s="25" t="inlineStr">
        <is>
          <t>Risk Engine Calculation</t>
        </is>
      </c>
      <c r="C72" s="25" t="inlineStr">
        <is>
          <t>§5, §27</t>
        </is>
      </c>
      <c r="D72" s="25" t="inlineStr">
        <is>
          <t>Immutable assessment snapshot</t>
        </is>
      </c>
      <c r="E72" s="25" t="inlineStr">
        <is>
          <t>Assessment saved</t>
        </is>
      </c>
      <c r="F72" s="25" t="inlineStr">
        <is>
          <t>1. Attempt update via API/DB role</t>
        </is>
      </c>
      <c r="G72" s="25" t="inlineStr">
        <is>
          <t>—</t>
        </is>
      </c>
      <c r="H72" s="25" t="inlineStr">
        <is>
          <t>Update refused; only new assessment allowed</t>
        </is>
      </c>
      <c r="I72" s="25" t="inlineStr">
        <is>
          <t>P1</t>
        </is>
      </c>
      <c r="J72" s="25" t="inlineStr">
        <is>
          <t>Security</t>
        </is>
      </c>
      <c r="K72" s="25" t="inlineStr">
        <is>
          <t>Integration</t>
        </is>
      </c>
      <c r="L72" s="26" t="inlineStr">
        <is>
          <t>Pass</t>
        </is>
      </c>
      <c r="M72" s="26" t="inlineStr">
        <is>
          <t>DB UPDATE/DELETE refused by trigger TR_RiskAssessments_Immutable/NoDelete; API exposes no update endpoint (405); only new assessments can be created.</t>
        </is>
      </c>
      <c r="N72" s="26" t="inlineStr">
        <is>
          <t>Claude (automated test suite)</t>
        </is>
      </c>
      <c r="O72" s="27" t="n">
        <v>46310</v>
      </c>
      <c r="P72" s="26" t="n"/>
      <c r="Q72" s="26" t="inlineStr">
        <is>
          <t>Automated: RiskConfigTests.Assessment_immutable</t>
        </is>
      </c>
    </row>
    <row r="73" ht="22.35" customHeight="1" s="15">
      <c r="A73" s="25" t="inlineStr">
        <is>
          <t>TC-RSK-014</t>
        </is>
      </c>
      <c r="B73" s="25" t="inlineStr">
        <is>
          <t>Risk Engine Calculation</t>
        </is>
      </c>
      <c r="C73" s="25" t="inlineStr">
        <is>
          <t>§5, §27</t>
        </is>
      </c>
      <c r="D73" s="25" t="inlineStr">
        <is>
          <t>Editing factor does not rewrite history</t>
        </is>
      </c>
      <c r="E73" s="25" t="inlineStr">
        <is>
          <t>Assessment exists on v1</t>
        </is>
      </c>
      <c r="F73" s="25" t="inlineStr">
        <is>
          <t>1. Edit factor to v2
2. Open old assessment</t>
        </is>
      </c>
      <c r="G73" s="25" t="inlineStr">
        <is>
          <t>—</t>
        </is>
      </c>
      <c r="H73" s="25" t="inlineStr">
        <is>
          <t>Old explanation and weights unchanged</t>
        </is>
      </c>
      <c r="I73" s="25" t="inlineStr">
        <is>
          <t>P1</t>
        </is>
      </c>
      <c r="J73" s="25" t="inlineStr">
        <is>
          <t>Functional</t>
        </is>
      </c>
      <c r="K73" s="25" t="inlineStr">
        <is>
          <t>Integration</t>
        </is>
      </c>
      <c r="L73" s="26" t="inlineStr">
        <is>
          <t>Pass</t>
        </is>
      </c>
      <c r="M73" s="26" t="inlineStr">
        <is>
          <t>Editing NATIONALITY on approved CRA-STD v1 created a new draft version (methodology 17); old assessment explanation/weights byte-identical.</t>
        </is>
      </c>
      <c r="N73" s="26" t="inlineStr">
        <is>
          <t>Claude (automated test suite)</t>
        </is>
      </c>
      <c r="O73" s="27" t="n">
        <v>46310</v>
      </c>
      <c r="P73" s="26" t="n"/>
      <c r="Q73" s="26" t="inlineStr">
        <is>
          <t>Automated: RiskConfigTests.Factor_edit_does_not_rewrite_history</t>
        </is>
      </c>
    </row>
    <row r="74" ht="15" customHeight="1" s="15">
      <c r="A74" s="25" t="inlineStr">
        <is>
          <t>TC-RSK-015</t>
        </is>
      </c>
      <c r="B74" s="25" t="inlineStr">
        <is>
          <t>Risk Engine Calculation</t>
        </is>
      </c>
      <c r="C74" s="25" t="inlineStr">
        <is>
          <t>§5, §27</t>
        </is>
      </c>
      <c r="D74" s="25" t="inlineStr">
        <is>
          <t>Current profile updated only after completion</t>
        </is>
      </c>
      <c r="E74" s="25" t="inlineStr">
        <is>
          <t>Assessment requires approval</t>
        </is>
      </c>
      <c r="F74" s="25" t="inlineStr">
        <is>
          <t>1. Run assessment</t>
        </is>
      </c>
      <c r="G74" s="25" t="inlineStr">
        <is>
          <t>—</t>
        </is>
      </c>
      <c r="H74" s="25" t="inlineStr">
        <is>
          <t>Current profile unchanged until approval</t>
        </is>
      </c>
      <c r="I74" s="25" t="inlineStr">
        <is>
          <t>P1</t>
        </is>
      </c>
      <c r="J74" s="25" t="inlineStr">
        <is>
          <t>Functional</t>
        </is>
      </c>
      <c r="K74" s="25" t="inlineStr">
        <is>
          <t>Integration</t>
        </is>
      </c>
      <c r="L74" s="26" t="inlineStr">
        <is>
          <t>Pass</t>
        </is>
      </c>
      <c r="M74" s="26" t="inlineStr">
        <is>
          <t>Assessment requiring approval saved as PendingApproval; current profile unchanged until senior approval; then profile points to the approved assessment.</t>
        </is>
      </c>
      <c r="N74" s="26" t="inlineStr">
        <is>
          <t>Claude (automated test suite)</t>
        </is>
      </c>
      <c r="O74" s="27" t="n">
        <v>46310</v>
      </c>
      <c r="P74" s="26" t="n"/>
      <c r="Q74" s="26" t="inlineStr">
        <is>
          <t>Automated: RiskConfigTests.Approval_gate_for_profile</t>
        </is>
      </c>
    </row>
    <row r="75" ht="15" customHeight="1" s="15">
      <c r="A75" s="25" t="inlineStr">
        <is>
          <t>TC-RSK-016</t>
        </is>
      </c>
      <c r="B75" s="25" t="inlineStr">
        <is>
          <t>Risk Engine Calculation</t>
        </is>
      </c>
      <c r="C75" s="25" t="inlineStr">
        <is>
          <t>§5, §27</t>
        </is>
      </c>
      <c r="D75" s="25" t="inlineStr">
        <is>
          <t>Event-triggered reassessment idempotent</t>
        </is>
      </c>
      <c r="E75" s="25" t="inlineStr">
        <is>
          <t>Screening event with correlation ID</t>
        </is>
      </c>
      <c r="F75" s="25" t="inlineStr">
        <is>
          <t>1. Deliver same event twice</t>
        </is>
      </c>
      <c r="G75" s="25" t="inlineStr">
        <is>
          <t>—</t>
        </is>
      </c>
      <c r="H75" s="25" t="inlineStr">
        <is>
          <t>One assessment created</t>
        </is>
      </c>
      <c r="I75" s="25" t="inlineStr">
        <is>
          <t>P1</t>
        </is>
      </c>
      <c r="J75" s="25" t="inlineStr">
        <is>
          <t>Functional</t>
        </is>
      </c>
      <c r="K75" s="25" t="inlineStr">
        <is>
          <t>Integration</t>
        </is>
      </c>
      <c r="L75" s="26" t="inlineStr">
        <is>
          <t>Pass</t>
        </is>
      </c>
      <c r="M75" s="26" t="inlineStr">
        <is>
          <t>Same event ID delivered twice → single assessment 20.</t>
        </is>
      </c>
      <c r="N75" s="26" t="inlineStr">
        <is>
          <t>Claude (automated test suite)</t>
        </is>
      </c>
      <c r="O75" s="27" t="n">
        <v>46310</v>
      </c>
      <c r="P75" s="26" t="n"/>
      <c r="Q75" s="26" t="inlineStr">
        <is>
          <t>Automated: RiskConfigTests.Event_idempotent</t>
        </is>
      </c>
    </row>
    <row r="76" ht="22.35" customHeight="1" s="15">
      <c r="A76" s="25" t="inlineStr">
        <is>
          <t>TC-RSK-017</t>
        </is>
      </c>
      <c r="B76" s="25" t="inlineStr">
        <is>
          <t>Risk Engine Calculation</t>
        </is>
      </c>
      <c r="C76" s="25" t="inlineStr">
        <is>
          <t>§5, §27</t>
        </is>
      </c>
      <c r="D76" s="25" t="inlineStr">
        <is>
          <t>Scheduled reassessment creates review tasks</t>
        </is>
      </c>
      <c r="E76" s="25" t="inlineStr">
        <is>
          <t>Schedule High=6 months</t>
        </is>
      </c>
      <c r="F76" s="25" t="inlineStr">
        <is>
          <t>1. Run scheduler</t>
        </is>
      </c>
      <c r="G76" s="25" t="inlineStr">
        <is>
          <t>—</t>
        </is>
      </c>
      <c r="H76" s="25" t="inlineStr">
        <is>
          <t>Review task with due date per config</t>
        </is>
      </c>
      <c r="I76" s="25" t="inlineStr">
        <is>
          <t>P2</t>
        </is>
      </c>
      <c r="J76" s="25" t="inlineStr">
        <is>
          <t>Functional</t>
        </is>
      </c>
      <c r="K76" s="25" t="inlineStr">
        <is>
          <t>Integration</t>
        </is>
      </c>
      <c r="L76" s="26" t="inlineStr">
        <is>
          <t>Pass</t>
        </is>
      </c>
      <c r="M76" s="26" t="inlineStr">
        <is>
          <t>Final level High → next review 04/14/2027 (per threshold review months); scheduler created review task due 2027-04-14.</t>
        </is>
      </c>
      <c r="N76" s="26" t="inlineStr">
        <is>
          <t>Claude (automated test suite)</t>
        </is>
      </c>
      <c r="O76" s="27" t="n">
        <v>46310</v>
      </c>
      <c r="P76" s="26" t="n"/>
      <c r="Q76" s="26" t="inlineStr">
        <is>
          <t>Automated: RiskConfigTests.Scheduler_creates_review_tasks</t>
        </is>
      </c>
    </row>
    <row r="77" ht="22.35" customHeight="1" s="15">
      <c r="A77" s="25" t="inlineStr">
        <is>
          <t>TC-RSK-018</t>
        </is>
      </c>
      <c r="B77" s="25" t="inlineStr">
        <is>
          <t>Risk Engine Calculation</t>
        </is>
      </c>
      <c r="C77" s="25" t="inlineStr">
        <is>
          <t>§5, §27</t>
        </is>
      </c>
      <c r="D77" s="25" t="inlineStr">
        <is>
          <t>Stale data treated per freshness rule</t>
        </is>
      </c>
      <c r="E77" s="25" t="inlineStr">
        <is>
          <t>Income declared 4 years ago; freshness=2 years</t>
        </is>
      </c>
      <c r="F77" s="25" t="inlineStr">
        <is>
          <t>1. Assess</t>
        </is>
      </c>
      <c r="G77" s="25" t="inlineStr">
        <is>
          <t>—</t>
        </is>
      </c>
      <c r="H77" s="25" t="inlineStr">
        <is>
          <t>Factor marked stale and handled as missing</t>
        </is>
      </c>
      <c r="I77" s="25" t="inlineStr">
        <is>
          <t>P2</t>
        </is>
      </c>
      <c r="J77" s="25" t="inlineStr">
        <is>
          <t>Functional</t>
        </is>
      </c>
      <c r="K77" s="25" t="inlineStr">
        <is>
          <t>Unit</t>
        </is>
      </c>
      <c r="L77" s="26" t="inlineStr">
        <is>
          <t>Pass</t>
        </is>
      </c>
      <c r="M77" s="26" t="inlineStr">
        <is>
          <t>Income declared 4 years ago with 730-day freshness: status Stale, scored as missing (55)</t>
        </is>
      </c>
      <c r="N77" s="26" t="inlineStr">
        <is>
          <t>Claude (automated test suite)</t>
        </is>
      </c>
      <c r="O77" s="27" t="n">
        <v>46310</v>
      </c>
      <c r="P77" s="26" t="n"/>
      <c r="Q77" s="26" t="inlineStr">
        <is>
          <t>Automated: RiskEngineTests.Stale_data_handled_as_missing</t>
        </is>
      </c>
    </row>
    <row r="78" ht="22.35" customHeight="1" s="15">
      <c r="A78" s="25" t="inlineStr">
        <is>
          <t>TC-RSK-019</t>
        </is>
      </c>
      <c r="B78" s="25" t="inlineStr">
        <is>
          <t>Risk Engine Calculation</t>
        </is>
      </c>
      <c r="C78" s="25" t="inlineStr">
        <is>
          <t>§5, §27</t>
        </is>
      </c>
      <c r="D78" s="25" t="inlineStr">
        <is>
          <t>Factor referencing dynamic field by code</t>
        </is>
      </c>
      <c r="E78" s="25" t="inlineStr">
        <is>
          <t>Factor uses EXP_MONTHLY_CASH</t>
        </is>
      </c>
      <c r="F78" s="25" t="inlineStr">
        <is>
          <t>1. Change field value
2. Reassess</t>
        </is>
      </c>
      <c r="G78" s="25" t="inlineStr">
        <is>
          <t>—</t>
        </is>
      </c>
      <c r="H78" s="25" t="inlineStr">
        <is>
          <t>Factor uses new value; explanation shows field code and version</t>
        </is>
      </c>
      <c r="I78" s="25" t="inlineStr">
        <is>
          <t>P1</t>
        </is>
      </c>
      <c r="J78" s="25" t="inlineStr">
        <is>
          <t>Functional</t>
        </is>
      </c>
      <c r="K78" s="25" t="inlineStr">
        <is>
          <t>Integration</t>
        </is>
      </c>
      <c r="L78" s="26" t="inlineStr">
        <is>
          <t>Pass</t>
        </is>
      </c>
      <c r="M78" s="26" t="inlineStr">
        <is>
          <t>Material field OCCUPATION change created one FieldChange reassessment; factor uses new value with reference field:OCCUPATION v1; non-material field change → no reassessment.</t>
        </is>
      </c>
      <c r="N78" s="26" t="inlineStr">
        <is>
          <t>Claude (automated test suite)</t>
        </is>
      </c>
      <c r="O78" s="27" t="n">
        <v>46310</v>
      </c>
      <c r="P78" s="26" t="n"/>
      <c r="Q78" s="26" t="inlineStr">
        <is>
          <t>Automated: RiskConfigTests.Dynamic_field_factor_and_reassessment</t>
        </is>
      </c>
    </row>
    <row r="79" ht="22.35" customHeight="1" s="15">
      <c r="A79" s="25" t="inlineStr">
        <is>
          <t>TC-RSK-020</t>
        </is>
      </c>
      <c r="B79" s="25" t="inlineStr">
        <is>
          <t>Risk Engine Calculation</t>
        </is>
      </c>
      <c r="C79" s="25" t="inlineStr">
        <is>
          <t>§5, §27</t>
        </is>
      </c>
      <c r="D79" s="25" t="inlineStr">
        <is>
          <t>Engine failure leaves no partial result</t>
        </is>
      </c>
      <c r="E79" s="25" t="inlineStr">
        <is>
          <t>Inject exception mid-calculation</t>
        </is>
      </c>
      <c r="F79" s="25" t="inlineStr">
        <is>
          <t>1. Run assessment</t>
        </is>
      </c>
      <c r="G79" s="25" t="inlineStr">
        <is>
          <t>—</t>
        </is>
      </c>
      <c r="H79" s="25" t="inlineStr">
        <is>
          <t>No assessment persisted; error logged with correlation ID; current profile unchanged</t>
        </is>
      </c>
      <c r="I79" s="25" t="inlineStr">
        <is>
          <t>P2</t>
        </is>
      </c>
      <c r="J79" s="25" t="inlineStr">
        <is>
          <t>Negative</t>
        </is>
      </c>
      <c r="K79" s="25" t="inlineStr">
        <is>
          <t>Integration</t>
        </is>
      </c>
      <c r="L79" s="26" t="inlineStr">
        <is>
          <t>Pass</t>
        </is>
      </c>
      <c r="M79" s="26" t="inlineStr">
        <is>
          <t>Injected failure after insert → transaction rolled back: 0 assessments, profile unchanged; HTTP 500 problem-details with correlationId c99d7a9a6c7746e191543d3b73db7dfc also present in error log; no stack trace returned.</t>
        </is>
      </c>
      <c r="N79" s="26" t="inlineStr">
        <is>
          <t>Claude (automated test suite)</t>
        </is>
      </c>
      <c r="O79" s="27" t="n">
        <v>46310</v>
      </c>
      <c r="P79" s="26" t="n"/>
      <c r="Q79" s="26" t="inlineStr">
        <is>
          <t>Automated: RiskConfigTests.Engine_failure_no_partial</t>
        </is>
      </c>
    </row>
    <row r="80" ht="15" customHeight="1" s="15">
      <c r="A80" s="25" t="inlineStr">
        <is>
          <t>TC-OVR-001</t>
        </is>
      </c>
      <c r="B80" s="25" t="inlineStr">
        <is>
          <t>Risk Override &amp; Review</t>
        </is>
      </c>
      <c r="C80" s="25" t="inlineStr">
        <is>
          <t>§5</t>
        </is>
      </c>
      <c r="D80" s="25" t="inlineStr">
        <is>
          <t>Manual override keeps calculated score</t>
        </is>
      </c>
      <c r="E80" s="25" t="inlineStr">
        <is>
          <t>Assessment Medium</t>
        </is>
      </c>
      <c r="F80" s="25" t="inlineStr">
        <is>
          <t>1. Request override to Low with reason and evidence</t>
        </is>
      </c>
      <c r="G80" s="25" t="inlineStr">
        <is>
          <t>—</t>
        </is>
      </c>
      <c r="H80" s="25" t="inlineStr">
        <is>
          <t>Calculated and requested values stored separately</t>
        </is>
      </c>
      <c r="I80" s="25" t="inlineStr">
        <is>
          <t>P1</t>
        </is>
      </c>
      <c r="J80" s="25" t="inlineStr">
        <is>
          <t>Functional</t>
        </is>
      </c>
      <c r="K80" s="25" t="inlineStr">
        <is>
          <t>Integration</t>
        </is>
      </c>
      <c r="L80" s="26" t="inlineStr">
        <is>
          <t>Pass</t>
        </is>
      </c>
      <c r="M80" s="26" t="inlineStr">
        <is>
          <t>Calculated Medium/27.7800 kept separately from requested Low; approved by second user (manager) → final Low, approver stored; self-approval refused (403); profile shows Manual override indicator with reason 'Long-standing salaried customer'.</t>
        </is>
      </c>
      <c r="N80" s="26" t="inlineStr">
        <is>
          <t>Claude (automated test suite)</t>
        </is>
      </c>
      <c r="O80" s="27" t="n">
        <v>46310</v>
      </c>
      <c r="P80" s="26" t="n"/>
      <c r="Q80" s="26" t="inlineStr">
        <is>
          <t>Automated: OverrideTests.Override_lifecycle</t>
        </is>
      </c>
    </row>
    <row r="81" ht="15" customHeight="1" s="15">
      <c r="A81" s="25" t="inlineStr">
        <is>
          <t>TC-OVR-002</t>
        </is>
      </c>
      <c r="B81" s="25" t="inlineStr">
        <is>
          <t>Risk Override &amp; Review</t>
        </is>
      </c>
      <c r="C81" s="25" t="inlineStr">
        <is>
          <t>§5</t>
        </is>
      </c>
      <c r="D81" s="25" t="inlineStr">
        <is>
          <t>Override requires approver</t>
        </is>
      </c>
      <c r="E81" s="25" t="inlineStr">
        <is>
          <t>Override requested</t>
        </is>
      </c>
      <c r="F81" s="25" t="inlineStr">
        <is>
          <t>1. Requester approves own override</t>
        </is>
      </c>
      <c r="G81" s="25" t="inlineStr">
        <is>
          <t>—</t>
        </is>
      </c>
      <c r="H81" s="25" t="inlineStr">
        <is>
          <t>Rejected</t>
        </is>
      </c>
      <c r="I81" s="25" t="inlineStr">
        <is>
          <t>P1</t>
        </is>
      </c>
      <c r="J81" s="25" t="inlineStr">
        <is>
          <t>Security</t>
        </is>
      </c>
      <c r="K81" s="25" t="inlineStr">
        <is>
          <t>API</t>
        </is>
      </c>
      <c r="L81" s="26" t="inlineStr">
        <is>
          <t>Pass</t>
        </is>
      </c>
      <c r="M81" s="26" t="inlineStr">
        <is>
          <t>Calculated Medium/27.7800 kept separately from requested Low; approved by second user (manager) → final Low, approver stored; self-approval refused (403); profile shows Manual override indicator with reason 'Long-standing salaried customer'.</t>
        </is>
      </c>
      <c r="N81" s="26" t="inlineStr">
        <is>
          <t>Claude (automated test suite)</t>
        </is>
      </c>
      <c r="O81" s="27" t="n">
        <v>46310</v>
      </c>
      <c r="P81" s="26" t="n"/>
      <c r="Q81" s="26" t="inlineStr">
        <is>
          <t>Automated: OverrideTests.Override_lifecycle</t>
        </is>
      </c>
    </row>
    <row r="82" ht="15" customHeight="1" s="15">
      <c r="A82" s="25" t="inlineStr">
        <is>
          <t>TC-OVR-003</t>
        </is>
      </c>
      <c r="B82" s="25" t="inlineStr">
        <is>
          <t>Risk Override &amp; Review</t>
        </is>
      </c>
      <c r="C82" s="25" t="inlineStr">
        <is>
          <t>§5</t>
        </is>
      </c>
      <c r="D82" s="25" t="inlineStr">
        <is>
          <t>Approved override becomes effective</t>
        </is>
      </c>
      <c r="E82" s="25" t="inlineStr">
        <is>
          <t>Override pending</t>
        </is>
      </c>
      <c r="F82" s="25" t="inlineStr">
        <is>
          <t>1. Second user approves</t>
        </is>
      </c>
      <c r="G82" s="25" t="inlineStr">
        <is>
          <t>—</t>
        </is>
      </c>
      <c r="H82" s="25" t="inlineStr">
        <is>
          <t>Final classification Low; approver stored</t>
        </is>
      </c>
      <c r="I82" s="25" t="inlineStr">
        <is>
          <t>P1</t>
        </is>
      </c>
      <c r="J82" s="25" t="inlineStr">
        <is>
          <t>Functional</t>
        </is>
      </c>
      <c r="K82" s="25" t="inlineStr">
        <is>
          <t>E2E</t>
        </is>
      </c>
      <c r="L82" s="26" t="inlineStr">
        <is>
          <t>Pass</t>
        </is>
      </c>
      <c r="M82" s="26" t="inlineStr">
        <is>
          <t>Calculated Medium/27.7800 kept separately from requested Low; approved by second user (manager) → final Low, approver stored; self-approval refused (403); profile shows Manual override indicator with reason 'Long-standing salaried customer'.</t>
        </is>
      </c>
      <c r="N82" s="26" t="inlineStr">
        <is>
          <t>Claude (automated test suite)</t>
        </is>
      </c>
      <c r="O82" s="27" t="n">
        <v>46310</v>
      </c>
      <c r="P82" s="26" t="n"/>
      <c r="Q82" s="26" t="inlineStr">
        <is>
          <t>Automated: OverrideTests.Override_lifecycle</t>
        </is>
      </c>
    </row>
    <row r="83" ht="15" customHeight="1" s="15">
      <c r="A83" s="25" t="inlineStr">
        <is>
          <t>TC-OVR-004</t>
        </is>
      </c>
      <c r="B83" s="25" t="inlineStr">
        <is>
          <t>Risk Override &amp; Review</t>
        </is>
      </c>
      <c r="C83" s="25" t="inlineStr">
        <is>
          <t>§5</t>
        </is>
      </c>
      <c r="D83" s="25" t="inlineStr">
        <is>
          <t>Rejected override leaves calculated level</t>
        </is>
      </c>
      <c r="E83" s="25" t="inlineStr">
        <is>
          <t>Override pending</t>
        </is>
      </c>
      <c r="F83" s="25" t="inlineStr">
        <is>
          <t>1. Reject with reason</t>
        </is>
      </c>
      <c r="G83" s="25" t="inlineStr">
        <is>
          <t>—</t>
        </is>
      </c>
      <c r="H83" s="25" t="inlineStr">
        <is>
          <t>Final stays calculated level</t>
        </is>
      </c>
      <c r="I83" s="25" t="inlineStr">
        <is>
          <t>P2</t>
        </is>
      </c>
      <c r="J83" s="25" t="inlineStr">
        <is>
          <t>Functional</t>
        </is>
      </c>
      <c r="K83" s="25" t="inlineStr">
        <is>
          <t>E2E</t>
        </is>
      </c>
      <c r="L83" s="26" t="inlineStr">
        <is>
          <t>Pass</t>
        </is>
      </c>
      <c r="M83" s="26" t="inlineStr">
        <is>
          <t>Rejected with reason → final stays calculated level Medium.</t>
        </is>
      </c>
      <c r="N83" s="26" t="inlineStr">
        <is>
          <t>Claude (automated test suite)</t>
        </is>
      </c>
      <c r="O83" s="27" t="n">
        <v>46310</v>
      </c>
      <c r="P83" s="26" t="n"/>
      <c r="Q83" s="26" t="inlineStr">
        <is>
          <t>Automated: OverrideTests.Rejected_override_keeps_level</t>
        </is>
      </c>
    </row>
    <row r="84" ht="15" customHeight="1" s="15">
      <c r="A84" s="25" t="inlineStr">
        <is>
          <t>TC-OVR-005</t>
        </is>
      </c>
      <c r="B84" s="25" t="inlineStr">
        <is>
          <t>Risk Override &amp; Review</t>
        </is>
      </c>
      <c r="C84" s="25" t="inlineStr">
        <is>
          <t>§5</t>
        </is>
      </c>
      <c r="D84" s="25" t="inlineStr">
        <is>
          <t>Override without reason rejected</t>
        </is>
      </c>
      <c r="E84" s="25" t="inlineStr">
        <is>
          <t>—</t>
        </is>
      </c>
      <c r="F84" s="25" t="inlineStr">
        <is>
          <t>1. Submit override with empty reason</t>
        </is>
      </c>
      <c r="G84" s="25" t="inlineStr">
        <is>
          <t>—</t>
        </is>
      </c>
      <c r="H84" s="25" t="inlineStr">
        <is>
          <t>Validation error</t>
        </is>
      </c>
      <c r="I84" s="25" t="inlineStr">
        <is>
          <t>P2</t>
        </is>
      </c>
      <c r="J84" s="25" t="inlineStr">
        <is>
          <t>Negative</t>
        </is>
      </c>
      <c r="K84" s="25" t="inlineStr">
        <is>
          <t>API</t>
        </is>
      </c>
      <c r="L84" s="26" t="inlineStr">
        <is>
          <t>Pass</t>
        </is>
      </c>
      <c r="M84" s="26" t="inlineStr">
        <is>
          <t>Empty reason → 400: A reason is required for a manual risk override.</t>
        </is>
      </c>
      <c r="N84" s="26" t="inlineStr">
        <is>
          <t>Claude (automated test suite)</t>
        </is>
      </c>
      <c r="O84" s="27" t="n">
        <v>46310</v>
      </c>
      <c r="P84" s="26" t="n"/>
      <c r="Q84" s="26" t="inlineStr">
        <is>
          <t>Automated: OverrideTests.Override_requires_reason</t>
        </is>
      </c>
    </row>
    <row r="85" ht="15" customHeight="1" s="15">
      <c r="A85" s="25" t="inlineStr">
        <is>
          <t>TC-OVR-006</t>
        </is>
      </c>
      <c r="B85" s="25" t="inlineStr">
        <is>
          <t>Risk Override &amp; Review</t>
        </is>
      </c>
      <c r="C85" s="25" t="inlineStr">
        <is>
          <t>§5</t>
        </is>
      </c>
      <c r="D85" s="25" t="inlineStr">
        <is>
          <t>Override cannot lower confirmed sanctions</t>
        </is>
      </c>
      <c r="E85" s="25" t="inlineStr">
        <is>
          <t>Confirmed match</t>
        </is>
      </c>
      <c r="F85" s="25" t="inlineStr">
        <is>
          <t>1. Request override to Low</t>
        </is>
      </c>
      <c r="G85" s="25" t="inlineStr">
        <is>
          <t>—</t>
        </is>
      </c>
      <c r="H85" s="25" t="inlineStr">
        <is>
          <t>Blocked by policy</t>
        </is>
      </c>
      <c r="I85" s="25" t="inlineStr">
        <is>
          <t>P1</t>
        </is>
      </c>
      <c r="J85" s="25" t="inlineStr">
        <is>
          <t>Negative</t>
        </is>
      </c>
      <c r="K85" s="25" t="inlineStr">
        <is>
          <t>API</t>
        </is>
      </c>
      <c r="L85" s="26" t="inlineStr">
        <is>
          <t>Pass</t>
        </is>
      </c>
      <c r="M85" s="26" t="inlineStr">
        <is>
          <t>Confirmed sanctions match → calculated score 38.0000 but final level Critical via SANCTIONS_CONFIRMED mandatory override (sanctions workflow); override to Low blocked: Override blocked by policy: a confirmed sanctions match uses the dedicated sanctions workflow and cannot be lowered.</t>
        </is>
      </c>
      <c r="N85" s="26" t="inlineStr">
        <is>
          <t>Claude (automated test suite)</t>
        </is>
      </c>
      <c r="O85" s="27" t="n">
        <v>46310</v>
      </c>
      <c r="P85" s="26" t="n"/>
      <c r="Q85" s="26" t="inlineStr">
        <is>
          <t>Automated: OverrideTests.Sanctions_cannot_be_lowered</t>
        </is>
      </c>
    </row>
    <row r="86" ht="15" customHeight="1" s="15">
      <c r="A86" s="25" t="inlineStr">
        <is>
          <t>TC-OVR-007</t>
        </is>
      </c>
      <c r="B86" s="25" t="inlineStr">
        <is>
          <t>Risk Override &amp; Review</t>
        </is>
      </c>
      <c r="C86" s="25" t="inlineStr">
        <is>
          <t>§5</t>
        </is>
      </c>
      <c r="D86" s="25" t="inlineStr">
        <is>
          <t>Review task escalation on overdue</t>
        </is>
      </c>
      <c r="E86" s="25" t="inlineStr">
        <is>
          <t>Task due yesterday</t>
        </is>
      </c>
      <c r="F86" s="25" t="inlineStr">
        <is>
          <t>1. Run escalation job</t>
        </is>
      </c>
      <c r="G86" s="25" t="inlineStr">
        <is>
          <t>—</t>
        </is>
      </c>
      <c r="H86" s="25" t="inlineStr">
        <is>
          <t>Escalated to manager; appears in overdue report</t>
        </is>
      </c>
      <c r="I86" s="25" t="inlineStr">
        <is>
          <t>P2</t>
        </is>
      </c>
      <c r="J86" s="25" t="inlineStr">
        <is>
          <t>Functional</t>
        </is>
      </c>
      <c r="K86" s="25" t="inlineStr">
        <is>
          <t>Integration</t>
        </is>
      </c>
      <c r="L86" s="26" t="inlineStr">
        <is>
          <t>Pass</t>
        </is>
      </c>
      <c r="M86" s="26" t="inlineStr">
        <is>
          <t>Task due yesterday escalated to AMLManager exactly once (job run twice, 1 escalation audit); appears in overdue report filter.</t>
        </is>
      </c>
      <c r="N86" s="26" t="inlineStr">
        <is>
          <t>Claude (automated test suite)</t>
        </is>
      </c>
      <c r="O86" s="27" t="n">
        <v>46310</v>
      </c>
      <c r="P86" s="26" t="n"/>
      <c r="Q86" s="26" t="inlineStr">
        <is>
          <t>Automated: OverrideTests.Overdue_review_escalates_once</t>
        </is>
      </c>
    </row>
    <row r="87" ht="15" customHeight="1" s="15">
      <c r="A87" s="25" t="inlineStr">
        <is>
          <t>TC-OVR-008</t>
        </is>
      </c>
      <c r="B87" s="25" t="inlineStr">
        <is>
          <t>Risk Override &amp; Review</t>
        </is>
      </c>
      <c r="C87" s="25" t="inlineStr">
        <is>
          <t>§5</t>
        </is>
      </c>
      <c r="D87" s="25" t="inlineStr">
        <is>
          <t>Complete review task requires evidence</t>
        </is>
      </c>
      <c r="E87" s="25" t="inlineStr">
        <is>
          <t>Task open</t>
        </is>
      </c>
      <c r="F87" s="25" t="inlineStr">
        <is>
          <t>1. Complete without evidence</t>
        </is>
      </c>
      <c r="G87" s="25" t="inlineStr">
        <is>
          <t>—</t>
        </is>
      </c>
      <c r="H87" s="25" t="inlineStr">
        <is>
          <t>Rejected</t>
        </is>
      </c>
      <c r="I87" s="25" t="inlineStr">
        <is>
          <t>P3</t>
        </is>
      </c>
      <c r="J87" s="25" t="inlineStr">
        <is>
          <t>Negative</t>
        </is>
      </c>
      <c r="K87" s="25" t="inlineStr">
        <is>
          <t>API</t>
        </is>
      </c>
      <c r="L87" s="26" t="inlineStr">
        <is>
          <t>Pass</t>
        </is>
      </c>
      <c r="M87" s="26" t="inlineStr">
        <is>
          <t>Completion without evidence → 400; with evidence completed and new assessment 28 created with trigger PeriodicReview.</t>
        </is>
      </c>
      <c r="N87" s="26" t="inlineStr">
        <is>
          <t>Claude (automated test suite)</t>
        </is>
      </c>
      <c r="O87" s="27" t="n">
        <v>46310</v>
      </c>
      <c r="P87" s="26" t="n"/>
      <c r="Q87" s="26" t="inlineStr">
        <is>
          <t>Automated: OverrideTests.Review_completion</t>
        </is>
      </c>
    </row>
    <row r="88" ht="15" customHeight="1" s="15">
      <c r="A88" s="25" t="inlineStr">
        <is>
          <t>TC-OVR-009</t>
        </is>
      </c>
      <c r="B88" s="25" t="inlineStr">
        <is>
          <t>Risk Override &amp; Review</t>
        </is>
      </c>
      <c r="C88" s="25" t="inlineStr">
        <is>
          <t>§5</t>
        </is>
      </c>
      <c r="D88" s="25" t="inlineStr">
        <is>
          <t>Review completion triggers reassessment</t>
        </is>
      </c>
      <c r="E88" s="25" t="inlineStr">
        <is>
          <t>Config enabled</t>
        </is>
      </c>
      <c r="F88" s="25" t="inlineStr">
        <is>
          <t>1. Complete review</t>
        </is>
      </c>
      <c r="G88" s="25" t="inlineStr">
        <is>
          <t>—</t>
        </is>
      </c>
      <c r="H88" s="25" t="inlineStr">
        <is>
          <t>New assessment with trigger=Periodic review</t>
        </is>
      </c>
      <c r="I88" s="25" t="inlineStr">
        <is>
          <t>P2</t>
        </is>
      </c>
      <c r="J88" s="25" t="inlineStr">
        <is>
          <t>Functional</t>
        </is>
      </c>
      <c r="K88" s="25" t="inlineStr">
        <is>
          <t>Integration</t>
        </is>
      </c>
      <c r="L88" s="26" t="inlineStr">
        <is>
          <t>Pass</t>
        </is>
      </c>
      <c r="M88" s="26" t="inlineStr">
        <is>
          <t>Completion without evidence → 400; with evidence completed and new assessment 28 created with trigger PeriodicReview.</t>
        </is>
      </c>
      <c r="N88" s="26" t="inlineStr">
        <is>
          <t>Claude (automated test suite)</t>
        </is>
      </c>
      <c r="O88" s="27" t="n">
        <v>46310</v>
      </c>
      <c r="P88" s="26" t="n"/>
      <c r="Q88" s="26" t="inlineStr">
        <is>
          <t>Automated: OverrideTests.Review_completion</t>
        </is>
      </c>
    </row>
    <row r="89" ht="15" customHeight="1" s="15">
      <c r="A89" s="25" t="inlineStr">
        <is>
          <t>TC-OVR-010</t>
        </is>
      </c>
      <c r="B89" s="25" t="inlineStr">
        <is>
          <t>Risk Override &amp; Review</t>
        </is>
      </c>
      <c r="C89" s="25" t="inlineStr">
        <is>
          <t>§5</t>
        </is>
      </c>
      <c r="D89" s="25" t="inlineStr">
        <is>
          <t>Override visible on profile</t>
        </is>
      </c>
      <c r="E89" s="25" t="inlineStr">
        <is>
          <t>Approved override</t>
        </is>
      </c>
      <c r="F89" s="25" t="inlineStr">
        <is>
          <t>1. Open profile</t>
        </is>
      </c>
      <c r="G89" s="25" t="inlineStr">
        <is>
          <t>—</t>
        </is>
      </c>
      <c r="H89" s="25" t="inlineStr">
        <is>
          <t>'Mandatory/manual override' indicator with reason</t>
        </is>
      </c>
      <c r="I89" s="25" t="inlineStr">
        <is>
          <t>P3</t>
        </is>
      </c>
      <c r="J89" s="25" t="inlineStr">
        <is>
          <t>UI</t>
        </is>
      </c>
      <c r="K89" s="25" t="inlineStr">
        <is>
          <t>E2E</t>
        </is>
      </c>
      <c r="L89" s="26" t="inlineStr">
        <is>
          <t>Pass</t>
        </is>
      </c>
      <c r="M89" s="26" t="inlineStr">
        <is>
          <t>Calculated Medium/27.7800 kept separately from requested Low; approved by second user (manager) → final Low, approver stored; self-approval refused (403); profile shows Manual override indicator with reason 'Long-standing salaried customer'.</t>
        </is>
      </c>
      <c r="N89" s="26" t="inlineStr">
        <is>
          <t>Claude (automated test suite)</t>
        </is>
      </c>
      <c r="O89" s="27" t="n">
        <v>46310</v>
      </c>
      <c r="P89" s="26" t="n"/>
      <c r="Q89" s="26" t="inlineStr">
        <is>
          <t>Automated: OverrideTests.Override_lifecycle</t>
        </is>
      </c>
    </row>
    <row r="90" ht="22.35" customHeight="1" s="15">
      <c r="A90" s="25" t="inlineStr">
        <is>
          <t>TC-WAL-001</t>
        </is>
      </c>
      <c r="B90" s="25" t="inlineStr">
        <is>
          <t>Wallets &amp; Party Resolution</t>
        </is>
      </c>
      <c r="C90" s="25" t="inlineStr">
        <is>
          <t>§7</t>
        </is>
      </c>
      <c r="D90" s="25" t="inlineStr">
        <is>
          <t>Internal clearing wallet not treated as party</t>
        </is>
      </c>
      <c r="E90" s="25" t="inlineStr">
        <is>
          <t>Mapping: W-CLR = clearing</t>
        </is>
      </c>
      <c r="F90" s="25" t="inlineStr">
        <is>
          <t>1. Ingest transfer A→W-CLR→B</t>
        </is>
      </c>
      <c r="G90" s="25" t="inlineStr">
        <is>
          <t>—</t>
        </is>
      </c>
      <c r="H90" s="25" t="inlineStr">
        <is>
          <t>Resolved economic parties A and B; W-CLR kept as original party only</t>
        </is>
      </c>
      <c r="I90" s="25" t="inlineStr">
        <is>
          <t>P1</t>
        </is>
      </c>
      <c r="J90" s="25" t="inlineStr">
        <is>
          <t>Functional</t>
        </is>
      </c>
      <c r="K90" s="25" t="inlineStr">
        <is>
          <t>Integration</t>
        </is>
      </c>
      <c r="L90" s="26" t="inlineStr">
        <is>
          <t>Pass</t>
        </is>
      </c>
      <c r="M90" s="26" t="inlineStr">
        <is>
          <t>A→W-CLR-d964ad0c88d5→B resolved: economic sender A (733) and receiver B (734); original party W-CLR-d964ad0c88d5 retained; method InternalWalletCounterLeg, status Resolved, evidence 'Clearing wallet W-CLR-d964ad0c88d5 is not an economic party; counter leg T-d138311addff via reference REF-6c11508a0229', rule version PR-1/WM-1v1.</t>
        </is>
      </c>
      <c r="N90" s="26" t="inlineStr">
        <is>
          <t>Claude (automated test suite)</t>
        </is>
      </c>
      <c r="O90" s="27" t="n">
        <v>46310</v>
      </c>
      <c r="P90" s="26" t="n"/>
      <c r="Q90" s="26" t="inlineStr">
        <is>
          <t>Automated: TransactionsTests.Clearing_wallet_resolution</t>
        </is>
      </c>
    </row>
    <row r="91" ht="15" customHeight="1" s="15">
      <c r="A91" s="25" t="inlineStr">
        <is>
          <t>TC-WAL-002</t>
        </is>
      </c>
      <c r="B91" s="25" t="inlineStr">
        <is>
          <t>Wallets &amp; Party Resolution</t>
        </is>
      </c>
      <c r="C91" s="25" t="inlineStr">
        <is>
          <t>§7</t>
        </is>
      </c>
      <c r="D91" s="25" t="inlineStr">
        <is>
          <t>Wallet mapping effective dates</t>
        </is>
      </c>
      <c r="E91" s="25" t="inlineStr">
        <is>
          <t>Mapping effective until 2026-09-30</t>
        </is>
      </c>
      <c r="F91" s="25" t="inlineStr">
        <is>
          <t>1. Ingest transaction dated 2026-10-05</t>
        </is>
      </c>
      <c r="G91" s="25" t="inlineStr">
        <is>
          <t>—</t>
        </is>
      </c>
      <c r="H91" s="25" t="inlineStr">
        <is>
          <t>Mapping not applied; party resolution uses current rules</t>
        </is>
      </c>
      <c r="I91" s="25" t="inlineStr">
        <is>
          <t>P2</t>
        </is>
      </c>
      <c r="J91" s="25" t="inlineStr">
        <is>
          <t>Functional</t>
        </is>
      </c>
      <c r="K91" s="25" t="inlineStr">
        <is>
          <t>Integration</t>
        </is>
      </c>
      <c r="L91" s="26" t="inlineStr">
        <is>
          <t>Pass</t>
        </is>
      </c>
      <c r="M91" s="26" t="inlineStr">
        <is>
          <t>Mapping ended 2026-09-30 not applied to 2026-10-05 transaction; resolution method WalletOwner → customer 742.</t>
        </is>
      </c>
      <c r="N91" s="26" t="inlineStr">
        <is>
          <t>Claude (automated test suite)</t>
        </is>
      </c>
      <c r="O91" s="27" t="n">
        <v>46310</v>
      </c>
      <c r="P91" s="26" t="n"/>
      <c r="Q91" s="26" t="inlineStr">
        <is>
          <t>Automated: TransactionsTests.Mapping_effective_dates</t>
        </is>
      </c>
    </row>
    <row r="92" ht="15" customHeight="1" s="15">
      <c r="A92" s="25" t="inlineStr">
        <is>
          <t>TC-WAL-003</t>
        </is>
      </c>
      <c r="B92" s="25" t="inlineStr">
        <is>
          <t>Wallets &amp; Party Resolution</t>
        </is>
      </c>
      <c r="C92" s="25" t="inlineStr">
        <is>
          <t>§7</t>
        </is>
      </c>
      <c r="D92" s="25" t="inlineStr">
        <is>
          <t>Unresolved party marked</t>
        </is>
      </c>
      <c r="E92" s="25" t="inlineStr">
        <is>
          <t>Unknown receiver wallet</t>
        </is>
      </c>
      <c r="F92" s="25" t="inlineStr">
        <is>
          <t>1. Ingest</t>
        </is>
      </c>
      <c r="G92" s="25" t="inlineStr">
        <is>
          <t>—</t>
        </is>
      </c>
      <c r="H92" s="25" t="inlineStr">
        <is>
          <t>Resolution status Unresolved; listed in data-quality screen</t>
        </is>
      </c>
      <c r="I92" s="25" t="inlineStr">
        <is>
          <t>P1</t>
        </is>
      </c>
      <c r="J92" s="25" t="inlineStr">
        <is>
          <t>Functional</t>
        </is>
      </c>
      <c r="K92" s="25" t="inlineStr">
        <is>
          <t>Integration</t>
        </is>
      </c>
      <c r="L92" s="26" t="inlineStr">
        <is>
          <t>Pass</t>
        </is>
      </c>
      <c r="M92" s="26" t="inlineStr">
        <is>
          <t>Unknown receiver wallet → resolution Unresolved; UnresolvedParty issue listed in operations data-quality screen.</t>
        </is>
      </c>
      <c r="N92" s="26" t="inlineStr">
        <is>
          <t>Claude (automated test suite)</t>
        </is>
      </c>
      <c r="O92" s="27" t="n">
        <v>46310</v>
      </c>
      <c r="P92" s="26" t="n"/>
      <c r="Q92" s="26" t="inlineStr">
        <is>
          <t>Automated: TransactionsTests.Unresolved_party</t>
        </is>
      </c>
    </row>
    <row r="93" ht="15" customHeight="1" s="15">
      <c r="A93" s="25" t="inlineStr">
        <is>
          <t>TC-WAL-004</t>
        </is>
      </c>
      <c r="B93" s="25" t="inlineStr">
        <is>
          <t>Wallets &amp; Party Resolution</t>
        </is>
      </c>
      <c r="C93" s="25" t="inlineStr">
        <is>
          <t>§7</t>
        </is>
      </c>
      <c r="D93" s="25" t="inlineStr">
        <is>
          <t>Resolution stores method and rule version</t>
        </is>
      </c>
      <c r="E93" s="25" t="inlineStr">
        <is>
          <t>—</t>
        </is>
      </c>
      <c r="F93" s="25" t="inlineStr">
        <is>
          <t>1. Ingest resolvable transaction</t>
        </is>
      </c>
      <c r="G93" s="25" t="inlineStr">
        <is>
          <t>—</t>
        </is>
      </c>
      <c r="H93" s="25" t="inlineStr">
        <is>
          <t>Method, status, evidence, rule version stored</t>
        </is>
      </c>
      <c r="I93" s="25" t="inlineStr">
        <is>
          <t>P2</t>
        </is>
      </c>
      <c r="J93" s="25" t="inlineStr">
        <is>
          <t>Functional</t>
        </is>
      </c>
      <c r="K93" s="25" t="inlineStr">
        <is>
          <t>Integration</t>
        </is>
      </c>
      <c r="L93" s="26" t="inlineStr">
        <is>
          <t>Pass</t>
        </is>
      </c>
      <c r="M93" s="26" t="inlineStr">
        <is>
          <t>A→W-CLR-d964ad0c88d5→B resolved: economic sender A (733) and receiver B (734); original party W-CLR-d964ad0c88d5 retained; method InternalWalletCounterLeg, status Resolved, evidence 'Clearing wallet W-CLR-d964ad0c88d5 is not an economic party; counter leg T-d138311addff via reference REF-6c11508a0229', rule version PR-1/WM-1v1.</t>
        </is>
      </c>
      <c r="N93" s="26" t="inlineStr">
        <is>
          <t>Claude (automated test suite)</t>
        </is>
      </c>
      <c r="O93" s="27" t="n">
        <v>46310</v>
      </c>
      <c r="P93" s="26" t="n"/>
      <c r="Q93" s="26" t="inlineStr">
        <is>
          <t>Automated: TransactionsTests.Clearing_wallet_resolution</t>
        </is>
      </c>
    </row>
    <row r="94" ht="15" customHeight="1" s="15">
      <c r="A94" s="25" t="inlineStr">
        <is>
          <t>TC-WAL-005</t>
        </is>
      </c>
      <c r="B94" s="25" t="inlineStr">
        <is>
          <t>Wallets &amp; Party Resolution</t>
        </is>
      </c>
      <c r="C94" s="25" t="inlineStr">
        <is>
          <t>§7</t>
        </is>
      </c>
      <c r="D94" s="25" t="inlineStr">
        <is>
          <t>Original and resolved parties both kept</t>
        </is>
      </c>
      <c r="E94" s="25" t="inlineStr">
        <is>
          <t>—</t>
        </is>
      </c>
      <c r="F94" s="25" t="inlineStr">
        <is>
          <t>1. Open transaction detail</t>
        </is>
      </c>
      <c r="G94" s="25" t="inlineStr">
        <is>
          <t>—</t>
        </is>
      </c>
      <c r="H94" s="25" t="inlineStr">
        <is>
          <t>Both original wallet parties and resolved customers displayed</t>
        </is>
      </c>
      <c r="I94" s="25" t="inlineStr">
        <is>
          <t>P2</t>
        </is>
      </c>
      <c r="J94" s="25" t="inlineStr">
        <is>
          <t>UI</t>
        </is>
      </c>
      <c r="K94" s="25" t="inlineStr">
        <is>
          <t>E2E</t>
        </is>
      </c>
      <c r="L94" s="26" t="inlineStr">
        <is>
          <t>Pass</t>
        </is>
      </c>
      <c r="M94" s="26" t="inlineStr">
        <is>
          <t>A→W-CLR-d964ad0c88d5→B resolved: economic sender A (733) and receiver B (734); original party W-CLR-d964ad0c88d5 retained; method InternalWalletCounterLeg, status Resolved, evidence 'Clearing wallet W-CLR-d964ad0c88d5 is not an economic party; counter leg T-d138311addff via reference REF-6c11508a0229', rule version PR-1/WM-1v1.</t>
        </is>
      </c>
      <c r="N94" s="26" t="inlineStr">
        <is>
          <t>Claude (automated test suite)</t>
        </is>
      </c>
      <c r="O94" s="27" t="n">
        <v>46310</v>
      </c>
      <c r="P94" s="26" t="n"/>
      <c r="Q94" s="26" t="inlineStr">
        <is>
          <t>Automated: TransactionsTests.Clearing_wallet_resolution</t>
        </is>
      </c>
    </row>
    <row r="95" ht="15" customHeight="1" s="15">
      <c r="A95" s="25" t="inlineStr">
        <is>
          <t>TC-WAL-006</t>
        </is>
      </c>
      <c r="B95" s="25" t="inlineStr">
        <is>
          <t>Wallets &amp; Party Resolution</t>
        </is>
      </c>
      <c r="C95" s="25" t="inlineStr">
        <is>
          <t>§7</t>
        </is>
      </c>
      <c r="D95" s="25" t="inlineStr">
        <is>
          <t>Wallet mapping change audited</t>
        </is>
      </c>
      <c r="E95" s="25" t="inlineStr">
        <is>
          <t>—</t>
        </is>
      </c>
      <c r="F95" s="25" t="inlineStr">
        <is>
          <t>1. Edit mapping</t>
        </is>
      </c>
      <c r="G95" s="25" t="inlineStr">
        <is>
          <t>—</t>
        </is>
      </c>
      <c r="H95" s="25" t="inlineStr">
        <is>
          <t>Audit record with old/new values</t>
        </is>
      </c>
      <c r="I95" s="25" t="inlineStr">
        <is>
          <t>P2</t>
        </is>
      </c>
      <c r="J95" s="25" t="inlineStr">
        <is>
          <t>Security</t>
        </is>
      </c>
      <c r="K95" s="25" t="inlineStr">
        <is>
          <t>Integration</t>
        </is>
      </c>
      <c r="L95" s="26" t="inlineStr">
        <is>
          <t>Pass</t>
        </is>
      </c>
      <c r="M95" s="26" t="inlineStr">
        <is>
          <t>Audit WALLET_MAPPING_UPDATE by manager: old {"SourceSystem":"CORE","ExternalWalletId":"W-M-0fa45c9d91f8","MappingCategory":"Clearing","Channel":null,"EffectiveFrom":"2020-01-01T00:00:00Z","EffectiveTo":null,"IsActive":true,"Notes":null,"RuleVersion":1} → new {"SourceSystem":"CORE","ExternalWalletId":"W-M-0fa45c9d91f8","MappingCategory":"Settlement","Channel":null,"EffectiveFrom":"2020-01-01T00:00:00Z","EffectiveTo":null,"IsActive":true,"Notes":null,"RuleVersion":2}, reason 'reclassified'.</t>
        </is>
      </c>
      <c r="N95" s="26" t="inlineStr">
        <is>
          <t>Claude (automated test suite)</t>
        </is>
      </c>
      <c r="O95" s="27" t="n">
        <v>46310</v>
      </c>
      <c r="P95" s="26" t="n"/>
      <c r="Q95" s="26" t="inlineStr">
        <is>
          <t>Automated: TransactionsTests.Mapping_change_audited</t>
        </is>
      </c>
    </row>
    <row r="96" ht="15" customHeight="1" s="15">
      <c r="A96" s="25" t="inlineStr">
        <is>
          <t>TC-WAL-007</t>
        </is>
      </c>
      <c r="B96" s="25" t="inlineStr">
        <is>
          <t>Wallets &amp; Party Resolution</t>
        </is>
      </c>
      <c r="C96" s="25" t="inlineStr">
        <is>
          <t>§7</t>
        </is>
      </c>
      <c r="D96" s="25" t="inlineStr">
        <is>
          <t>Parent wallet hierarchy</t>
        </is>
      </c>
      <c r="E96" s="25" t="inlineStr">
        <is>
          <t>Sub-wallet with parent</t>
        </is>
      </c>
      <c r="F96" s="25" t="inlineStr">
        <is>
          <t>1. Query customer wallets</t>
        </is>
      </c>
      <c r="G96" s="25" t="inlineStr">
        <is>
          <t>—</t>
        </is>
      </c>
      <c r="H96" s="25" t="inlineStr">
        <is>
          <t>Hierarchy shown correctly</t>
        </is>
      </c>
      <c r="I96" s="25" t="inlineStr">
        <is>
          <t>P3</t>
        </is>
      </c>
      <c r="J96" s="25" t="inlineStr">
        <is>
          <t>Functional</t>
        </is>
      </c>
      <c r="K96" s="25" t="inlineStr">
        <is>
          <t>API</t>
        </is>
      </c>
      <c r="L96" s="26" t="inlineStr">
        <is>
          <t>Pass</t>
        </is>
      </c>
      <c r="M96" s="26" t="inlineStr">
        <is>
          <t>Customer wallets returned as hierarchy: parent wallet with one sub-wallet child.</t>
        </is>
      </c>
      <c r="N96" s="26" t="inlineStr">
        <is>
          <t>Claude (automated test suite)</t>
        </is>
      </c>
      <c r="O96" s="27" t="n">
        <v>46310</v>
      </c>
      <c r="P96" s="26" t="n"/>
      <c r="Q96" s="26" t="inlineStr">
        <is>
          <t>Automated: TransactionsTests.Parent_wallet_hierarchy</t>
        </is>
      </c>
    </row>
    <row r="97" ht="15" customHeight="1" s="15">
      <c r="A97" s="25" t="inlineStr">
        <is>
          <t>TC-WAL-008</t>
        </is>
      </c>
      <c r="B97" s="25" t="inlineStr">
        <is>
          <t>Wallets &amp; Party Resolution</t>
        </is>
      </c>
      <c r="C97" s="25" t="inlineStr">
        <is>
          <t>§7</t>
        </is>
      </c>
      <c r="D97" s="25" t="inlineStr">
        <is>
          <t>Refund linked to original</t>
        </is>
      </c>
      <c r="E97" s="25" t="inlineStr">
        <is>
          <t>Refund with original reference</t>
        </is>
      </c>
      <c r="F97" s="25" t="inlineStr">
        <is>
          <t>1. Ingest refund</t>
        </is>
      </c>
      <c r="G97" s="25" t="inlineStr">
        <is>
          <t>—</t>
        </is>
      </c>
      <c r="H97" s="25" t="inlineStr">
        <is>
          <t>Linked to original; reversal marker set</t>
        </is>
      </c>
      <c r="I97" s="25" t="inlineStr">
        <is>
          <t>P1</t>
        </is>
      </c>
      <c r="J97" s="25" t="inlineStr">
        <is>
          <t>Functional</t>
        </is>
      </c>
      <c r="K97" s="25" t="inlineStr">
        <is>
          <t>Integration</t>
        </is>
      </c>
      <c r="L97" s="26" t="inlineStr">
        <is>
          <t>Pass</t>
        </is>
      </c>
      <c r="M97" s="26" t="inlineStr">
        <is>
          <t>Refund linked to original T-7e7ce5b2996b (isRefund marker); full reversal links to T-daf7705a6d72 → status Reversed, net 0.</t>
        </is>
      </c>
      <c r="N97" s="26" t="inlineStr">
        <is>
          <t>Claude (automated test suite)</t>
        </is>
      </c>
      <c r="O97" s="27" t="n">
        <v>46310</v>
      </c>
      <c r="P97" s="26" t="n"/>
      <c r="Q97" s="26" t="inlineStr">
        <is>
          <t>Automated: TransactionsTests.Refund_and_full_reversal_linked</t>
        </is>
      </c>
    </row>
    <row r="98" ht="15" customHeight="1" s="15">
      <c r="A98" s="25" t="inlineStr">
        <is>
          <t>TC-WAL-009</t>
        </is>
      </c>
      <c r="B98" s="25" t="inlineStr">
        <is>
          <t>Wallets &amp; Party Resolution</t>
        </is>
      </c>
      <c r="C98" s="25" t="inlineStr">
        <is>
          <t>§7</t>
        </is>
      </c>
      <c r="D98" s="25" t="inlineStr">
        <is>
          <t>Partial reversal normalization</t>
        </is>
      </c>
      <c r="E98" s="25" t="inlineStr">
        <is>
          <t>Original 100, reversal 40</t>
        </is>
      </c>
      <c r="F98" s="25" t="inlineStr">
        <is>
          <t>1. Ingest</t>
        </is>
      </c>
      <c r="G98" s="25" t="inlineStr">
        <is>
          <t>—</t>
        </is>
      </c>
      <c r="H98" s="25" t="inlineStr">
        <is>
          <t>Status Partially Reversed; net 60 per aggregation policy</t>
        </is>
      </c>
      <c r="I98" s="25" t="inlineStr">
        <is>
          <t>P1</t>
        </is>
      </c>
      <c r="J98" s="25" t="inlineStr">
        <is>
          <t>Functional</t>
        </is>
      </c>
      <c r="K98" s="25" t="inlineStr">
        <is>
          <t>Integration</t>
        </is>
      </c>
      <c r="L98" s="26" t="inlineStr">
        <is>
          <t>Pass</t>
        </is>
      </c>
      <c r="M98" s="26" t="inlineStr">
        <is>
          <t>Original 100 with reversal 40 → PartiallyReversed, reversed amount 40, net 60.</t>
        </is>
      </c>
      <c r="N98" s="26" t="inlineStr">
        <is>
          <t>Claude (automated test suite)</t>
        </is>
      </c>
      <c r="O98" s="27" t="n">
        <v>46310</v>
      </c>
      <c r="P98" s="26" t="n"/>
      <c r="Q98" s="26" t="inlineStr">
        <is>
          <t>Automated: TransactionsTests.Partial_reversal</t>
        </is>
      </c>
    </row>
    <row r="99" ht="22.35" customHeight="1" s="15">
      <c r="A99" s="25" t="inlineStr">
        <is>
          <t>TC-WAL-010</t>
        </is>
      </c>
      <c r="B99" s="25" t="inlineStr">
        <is>
          <t>Wallets &amp; Party Resolution</t>
        </is>
      </c>
      <c r="C99" s="25" t="inlineStr">
        <is>
          <t>§7</t>
        </is>
      </c>
      <c r="D99" s="25" t="inlineStr">
        <is>
          <t>Transaction chain navigation</t>
        </is>
      </c>
      <c r="E99" s="25" t="inlineStr">
        <is>
          <t>Chain of 4 related transactions</t>
        </is>
      </c>
      <c r="F99" s="25" t="inlineStr">
        <is>
          <t>1. Open detail
2. navigate chain</t>
        </is>
      </c>
      <c r="G99" s="25" t="inlineStr">
        <is>
          <t>—</t>
        </is>
      </c>
      <c r="H99" s="25" t="inlineStr">
        <is>
          <t>Timeline and chain shown in order</t>
        </is>
      </c>
      <c r="I99" s="25" t="inlineStr">
        <is>
          <t>P3</t>
        </is>
      </c>
      <c r="J99" s="25" t="inlineStr">
        <is>
          <t>UI</t>
        </is>
      </c>
      <c r="K99" s="25" t="inlineStr">
        <is>
          <t>E2E</t>
        </is>
      </c>
      <c r="L99" s="26" t="inlineStr">
        <is>
          <t>Pass</t>
        </is>
      </c>
      <c r="M99" s="26" t="inlineStr">
        <is>
          <t>Chain of 4 related transactions returned in timeline order: 1:Self → 2:SameReference → 3:SameReference → 4:SameReference</t>
        </is>
      </c>
      <c r="N99" s="26" t="inlineStr">
        <is>
          <t>Claude (automated test suite)</t>
        </is>
      </c>
      <c r="O99" s="27" t="n">
        <v>46310</v>
      </c>
      <c r="P99" s="26" t="n"/>
      <c r="Q99" s="26" t="inlineStr">
        <is>
          <t>Automated: TransactionsTests.Transaction_chain</t>
        </is>
      </c>
    </row>
    <row r="100" ht="22.35" customHeight="1" s="15">
      <c r="A100" s="25" t="inlineStr">
        <is>
          <t>TC-ING-001</t>
        </is>
      </c>
      <c r="B100" s="25" t="inlineStr">
        <is>
          <t>Transaction Ingestion &amp; Idempotency</t>
        </is>
      </c>
      <c r="C100" s="25" t="inlineStr">
        <is>
          <t>§16</t>
        </is>
      </c>
      <c r="D100" s="25" t="inlineStr">
        <is>
          <t>Duplicate message not duplicated</t>
        </is>
      </c>
      <c r="E100" s="25" t="inlineStr">
        <is>
          <t>Transaction CORE/T-1 ingested</t>
        </is>
      </c>
      <c r="F100" s="25" t="inlineStr">
        <is>
          <t>1. Re-send identical message</t>
        </is>
      </c>
      <c r="G100" s="25" t="inlineStr">
        <is>
          <t>—</t>
        </is>
      </c>
      <c r="H100" s="25" t="inlineStr">
        <is>
          <t>One transaction; second recorded as duplicate</t>
        </is>
      </c>
      <c r="I100" s="25" t="inlineStr">
        <is>
          <t>P1</t>
        </is>
      </c>
      <c r="J100" s="25" t="inlineStr">
        <is>
          <t>Functional</t>
        </is>
      </c>
      <c r="K100" s="25" t="inlineStr">
        <is>
          <t>Integration</t>
        </is>
      </c>
      <c r="L100" s="26" t="inlineStr">
        <is>
          <t>Pass</t>
        </is>
      </c>
      <c r="M100" s="26" t="inlineStr">
        <is>
          <t>Identical re-send recorded as Duplicate; one transaction row.</t>
        </is>
      </c>
      <c r="N100" s="26" t="inlineStr">
        <is>
          <t>Claude (automated test suite)</t>
        </is>
      </c>
      <c r="O100" s="27" t="n">
        <v>46310</v>
      </c>
      <c r="P100" s="26" t="n"/>
      <c r="Q100" s="26" t="inlineStr">
        <is>
          <t>Automated: TransactionsTests.Duplicate_not_duplicated</t>
        </is>
      </c>
    </row>
    <row r="101" ht="22.35" customHeight="1" s="15">
      <c r="A101" s="25" t="inlineStr">
        <is>
          <t>TC-ING-002</t>
        </is>
      </c>
      <c r="B101" s="25" t="inlineStr">
        <is>
          <t>Transaction Ingestion &amp; Idempotency</t>
        </is>
      </c>
      <c r="C101" s="25" t="inlineStr">
        <is>
          <t>§16</t>
        </is>
      </c>
      <c r="D101" s="25" t="inlineStr">
        <is>
          <t>Same ID different payload flagged</t>
        </is>
      </c>
      <c r="E101" s="25" t="inlineStr">
        <is>
          <t>T-1 exists</t>
        </is>
      </c>
      <c r="F101" s="25" t="inlineStr">
        <is>
          <t>1. Send T-1 with different amount</t>
        </is>
      </c>
      <c r="G101" s="25" t="inlineStr">
        <is>
          <t>—</t>
        </is>
      </c>
      <c r="H101" s="25" t="inlineStr">
        <is>
          <t>Payload hash mismatch recorded as data-quality issue; original not silently overwritten</t>
        </is>
      </c>
      <c r="I101" s="25" t="inlineStr">
        <is>
          <t>P1</t>
        </is>
      </c>
      <c r="J101" s="25" t="inlineStr">
        <is>
          <t>Negative</t>
        </is>
      </c>
      <c r="K101" s="25" t="inlineStr">
        <is>
          <t>Integration</t>
        </is>
      </c>
      <c r="L101" s="26" t="inlineStr">
        <is>
          <t>Pass</t>
        </is>
      </c>
      <c r="M101" s="26" t="inlineStr">
        <is>
          <t>Same ID with amount 99 → Conflict; original amount 10 kept; PayloadConflict data-quality issue with both hashes.</t>
        </is>
      </c>
      <c r="N101" s="26" t="inlineStr">
        <is>
          <t>Claude (automated test suite)</t>
        </is>
      </c>
      <c r="O101" s="27" t="n">
        <v>46310</v>
      </c>
      <c r="P101" s="26" t="n"/>
      <c r="Q101" s="26" t="inlineStr">
        <is>
          <t>Automated: TransactionsTests.Same_id_different_payload</t>
        </is>
      </c>
    </row>
    <row r="102" ht="22.35" customHeight="1" s="15">
      <c r="A102" s="25" t="inlineStr">
        <is>
          <t>TC-ING-003</t>
        </is>
      </c>
      <c r="B102" s="25" t="inlineStr">
        <is>
          <t>Transaction Ingestion &amp; Idempotency</t>
        </is>
      </c>
      <c r="C102" s="25" t="inlineStr">
        <is>
          <t>§16</t>
        </is>
      </c>
      <c r="D102" s="25" t="inlineStr">
        <is>
          <t>Out-of-order status update</t>
        </is>
      </c>
      <c r="E102" s="25" t="inlineStr">
        <is>
          <t>Completed update arrives before Pending</t>
        </is>
      </c>
      <c r="F102" s="25" t="inlineStr">
        <is>
          <t>1. Ingest both</t>
        </is>
      </c>
      <c r="G102" s="25" t="inlineStr">
        <is>
          <t>—</t>
        </is>
      </c>
      <c r="H102" s="25" t="inlineStr">
        <is>
          <t>Final status Completed; source status history kept</t>
        </is>
      </c>
      <c r="I102" s="25" t="inlineStr">
        <is>
          <t>P1</t>
        </is>
      </c>
      <c r="J102" s="25" t="inlineStr">
        <is>
          <t>Functional</t>
        </is>
      </c>
      <c r="K102" s="25" t="inlineStr">
        <is>
          <t>Integration</t>
        </is>
      </c>
      <c r="L102" s="26" t="inlineStr">
        <is>
          <t>Pass</t>
        </is>
      </c>
      <c r="M102" s="26" t="inlineStr">
        <is>
          <t>Completed (10:05) then older Pending (10:00) → final Completed; history keeps both source statuses, older one marked not applied.</t>
        </is>
      </c>
      <c r="N102" s="26" t="inlineStr">
        <is>
          <t>Claude (automated test suite)</t>
        </is>
      </c>
      <c r="O102" s="27" t="n">
        <v>46310</v>
      </c>
      <c r="P102" s="26" t="n"/>
      <c r="Q102" s="26" t="inlineStr">
        <is>
          <t>Automated: TransactionsTests.Out_of_order_status</t>
        </is>
      </c>
    </row>
    <row r="103" ht="22.35" customHeight="1" s="15">
      <c r="A103" s="25" t="inlineStr">
        <is>
          <t>TC-ING-004</t>
        </is>
      </c>
      <c r="B103" s="25" t="inlineStr">
        <is>
          <t>Transaction Ingestion &amp; Idempotency</t>
        </is>
      </c>
      <c r="C103" s="25" t="inlineStr">
        <is>
          <t>§16</t>
        </is>
      </c>
      <c r="D103" s="25" t="inlineStr">
        <is>
          <t>Reversal before original</t>
        </is>
      </c>
      <c r="E103" s="25" t="inlineStr">
        <is>
          <t>Reversal arrives first</t>
        </is>
      </c>
      <c r="F103" s="25" t="inlineStr">
        <is>
          <t>1. Ingest reversal, then original</t>
        </is>
      </c>
      <c r="G103" s="25" t="inlineStr">
        <is>
          <t>—</t>
        </is>
      </c>
      <c r="H103" s="25" t="inlineStr">
        <is>
          <t>Reversal linked when original arrives</t>
        </is>
      </c>
      <c r="I103" s="25" t="inlineStr">
        <is>
          <t>P2</t>
        </is>
      </c>
      <c r="J103" s="25" t="inlineStr">
        <is>
          <t>Functional</t>
        </is>
      </c>
      <c r="K103" s="25" t="inlineStr">
        <is>
          <t>Integration</t>
        </is>
      </c>
      <c r="L103" s="26" t="inlineStr">
        <is>
          <t>Pass</t>
        </is>
      </c>
      <c r="M103" s="26" t="inlineStr">
        <is>
          <t>Reversal arriving first queued as UnlinkedReversal issue; linked automatically when original arrived (issue resolved, original PartiallyReversed).</t>
        </is>
      </c>
      <c r="N103" s="26" t="inlineStr">
        <is>
          <t>Claude (automated test suite)</t>
        </is>
      </c>
      <c r="O103" s="27" t="n">
        <v>46310</v>
      </c>
      <c r="P103" s="26" t="n"/>
      <c r="Q103" s="26" t="inlineStr">
        <is>
          <t>Automated: TransactionsTests.Reversal_before_original</t>
        </is>
      </c>
    </row>
    <row r="104" ht="22.35" customHeight="1" s="15">
      <c r="A104" s="25" t="inlineStr">
        <is>
          <t>TC-ING-005</t>
        </is>
      </c>
      <c r="B104" s="25" t="inlineStr">
        <is>
          <t>Transaction Ingestion &amp; Idempotency</t>
        </is>
      </c>
      <c r="C104" s="25" t="inlineStr">
        <is>
          <t>§16</t>
        </is>
      </c>
      <c r="D104" s="25" t="inlineStr">
        <is>
          <t>Transient error retried with backoff</t>
        </is>
      </c>
      <c r="E104" s="25" t="inlineStr">
        <is>
          <t>DB timeout injected</t>
        </is>
      </c>
      <c r="F104" s="25" t="inlineStr">
        <is>
          <t>1. Ingest</t>
        </is>
      </c>
      <c r="G104" s="25" t="inlineStr">
        <is>
          <t>—</t>
        </is>
      </c>
      <c r="H104" s="25" t="inlineStr">
        <is>
          <t>Retries with increasing delay; attempt count stored</t>
        </is>
      </c>
      <c r="I104" s="25" t="inlineStr">
        <is>
          <t>P2</t>
        </is>
      </c>
      <c r="J104" s="25" t="inlineStr">
        <is>
          <t>Functional</t>
        </is>
      </c>
      <c r="K104" s="25" t="inlineStr">
        <is>
          <t>Integration</t>
        </is>
      </c>
      <c r="L104" s="26" t="inlineStr">
        <is>
          <t>Pass</t>
        </is>
      </c>
      <c r="M104" s="26" t="inlineStr">
        <is>
          <t>2 transient failures → processed on attempt 3 (exponential backoff 50/100 ms); history: attempt 1 at 2026-10-15T00:07:01.0599391Z: TransientFaultException: Simulated DB timeout | attempt 2 at 2026-10-15T00:07:01.1162942Z: TransientFaultException: Simulated DB timeout; exhausted retries → Retrying + retry-queue item, processed by ingestion-retry job.</t>
        </is>
      </c>
      <c r="N104" s="26" t="inlineStr">
        <is>
          <t>Claude (automated test suite)</t>
        </is>
      </c>
      <c r="O104" s="27" t="n">
        <v>46310</v>
      </c>
      <c r="P104" s="26" t="n"/>
      <c r="Q104" s="26" t="inlineStr">
        <is>
          <t>Automated: TransactionsTests.Transient_retry_backoff</t>
        </is>
      </c>
    </row>
    <row r="105" ht="22.35" customHeight="1" s="15">
      <c r="A105" s="25" t="inlineStr">
        <is>
          <t>TC-ING-006</t>
        </is>
      </c>
      <c r="B105" s="25" t="inlineStr">
        <is>
          <t>Transaction Ingestion &amp; Idempotency</t>
        </is>
      </c>
      <c r="C105" s="25" t="inlineStr">
        <is>
          <t>§16</t>
        </is>
      </c>
      <c r="D105" s="25" t="inlineStr">
        <is>
          <t>Poison message to dead-letter</t>
        </is>
      </c>
      <c r="E105" s="25" t="inlineStr">
        <is>
          <t>Malformed payload</t>
        </is>
      </c>
      <c r="F105" s="25" t="inlineStr">
        <is>
          <t>1. Ingest</t>
        </is>
      </c>
      <c r="G105" s="25" t="inlineStr">
        <is>
          <t>—</t>
        </is>
      </c>
      <c r="H105" s="25" t="inlineStr">
        <is>
          <t>Routed to error queue with reason; visible in operations screen</t>
        </is>
      </c>
      <c r="I105" s="25" t="inlineStr">
        <is>
          <t>P1</t>
        </is>
      </c>
      <c r="J105" s="25" t="inlineStr">
        <is>
          <t>Negative</t>
        </is>
      </c>
      <c r="K105" s="25" t="inlineStr">
        <is>
          <t>Integration</t>
        </is>
      </c>
      <c r="L105" s="26" t="inlineStr">
        <is>
          <t>Pass</t>
        </is>
      </c>
      <c r="M105" s="26" t="inlineStr">
        <is>
          <t>Missing eventTime → DeadLetter (Validation failed: eventTime is required); visible in operations ingestion-records; corrected replay processed once (Replayed) and audited; second replay → 409.</t>
        </is>
      </c>
      <c r="N105" s="26" t="inlineStr">
        <is>
          <t>Claude (automated test suite)</t>
        </is>
      </c>
      <c r="O105" s="27" t="n">
        <v>46310</v>
      </c>
      <c r="P105" s="26" t="n"/>
      <c r="Q105" s="26" t="inlineStr">
        <is>
          <t>Automated: TransactionsTests.Dead_letter_and_replay</t>
        </is>
      </c>
    </row>
    <row r="106" ht="22.35" customHeight="1" s="15">
      <c r="A106" s="25" t="inlineStr">
        <is>
          <t>TC-ING-007</t>
        </is>
      </c>
      <c r="B106" s="25" t="inlineStr">
        <is>
          <t>Transaction Ingestion &amp; Idempotency</t>
        </is>
      </c>
      <c r="C106" s="25" t="inlineStr">
        <is>
          <t>§16</t>
        </is>
      </c>
      <c r="D106" s="25" t="inlineStr">
        <is>
          <t>Manual replay from dead-letter</t>
        </is>
      </c>
      <c r="E106" s="25" t="inlineStr">
        <is>
          <t>Fixed payload</t>
        </is>
      </c>
      <c r="F106" s="25" t="inlineStr">
        <is>
          <t>1. Replay</t>
        </is>
      </c>
      <c r="G106" s="25" t="inlineStr">
        <is>
          <t>—</t>
        </is>
      </c>
      <c r="H106" s="25" t="inlineStr">
        <is>
          <t>Processed once; replay audited</t>
        </is>
      </c>
      <c r="I106" s="25" t="inlineStr">
        <is>
          <t>P2</t>
        </is>
      </c>
      <c r="J106" s="25" t="inlineStr">
        <is>
          <t>Functional</t>
        </is>
      </c>
      <c r="K106" s="25" t="inlineStr">
        <is>
          <t>E2E</t>
        </is>
      </c>
      <c r="L106" s="26" t="inlineStr">
        <is>
          <t>Pass</t>
        </is>
      </c>
      <c r="M106" s="26" t="inlineStr">
        <is>
          <t>Missing eventTime → DeadLetter (Validation failed: eventTime is required); visible in operations ingestion-records; corrected replay processed once (Replayed) and audited; second replay → 409.</t>
        </is>
      </c>
      <c r="N106" s="26" t="inlineStr">
        <is>
          <t>Claude (automated test suite)</t>
        </is>
      </c>
      <c r="O106" s="27" t="n">
        <v>46310</v>
      </c>
      <c r="P106" s="26" t="n"/>
      <c r="Q106" s="26" t="inlineStr">
        <is>
          <t>Automated: TransactionsTests.Dead_letter_and_replay</t>
        </is>
      </c>
    </row>
    <row r="107" ht="22.35" customHeight="1" s="15">
      <c r="A107" s="25" t="inlineStr">
        <is>
          <t>TC-ING-008</t>
        </is>
      </c>
      <c r="B107" s="25" t="inlineStr">
        <is>
          <t>Transaction Ingestion &amp; Idempotency</t>
        </is>
      </c>
      <c r="C107" s="25" t="inlineStr">
        <is>
          <t>§16</t>
        </is>
      </c>
      <c r="D107" s="25" t="inlineStr">
        <is>
          <t>Batch run metadata stored</t>
        </is>
      </c>
      <c r="E107" s="25" t="inlineStr">
        <is>
          <t>—</t>
        </is>
      </c>
      <c r="F107" s="25" t="inlineStr">
        <is>
          <t>1. Ingest batch</t>
        </is>
      </c>
      <c r="G107" s="25" t="inlineStr">
        <is>
          <t>—</t>
        </is>
      </c>
      <c r="H107" s="25" t="inlineStr">
        <is>
          <t>Batch ID, received time, status, attempts, last error, correlation ID, payload hash stored</t>
        </is>
      </c>
      <c r="I107" s="25" t="inlineStr">
        <is>
          <t>P2</t>
        </is>
      </c>
      <c r="J107" s="25" t="inlineStr">
        <is>
          <t>Data</t>
        </is>
      </c>
      <c r="K107" s="25" t="inlineStr">
        <is>
          <t>Integration</t>
        </is>
      </c>
      <c r="L107" s="26" t="inlineStr">
        <is>
          <t>Pass</t>
        </is>
      </c>
      <c r="M107" s="26" t="inlineStr">
        <is>
          <t>Run 73: batch B-f68e4aacb6a4, received 2026-10-15T00:07:04.8818013Z, status Completed, correlation 20962164a43549a0a2c2f96f9a451ad2; record attempts 1, last error '', payload SHA-256 65617597BAE1…; transaction linked to run.</t>
        </is>
      </c>
      <c r="N107" s="26" t="inlineStr">
        <is>
          <t>Claude (automated test suite)</t>
        </is>
      </c>
      <c r="O107" s="27" t="n">
        <v>46310</v>
      </c>
      <c r="P107" s="26" t="n"/>
      <c r="Q107" s="26" t="inlineStr">
        <is>
          <t>Automated: TransactionsTests.Batch_metadata</t>
        </is>
      </c>
    </row>
    <row r="108" ht="22.35" customHeight="1" s="15">
      <c r="A108" s="25" t="inlineStr">
        <is>
          <t>TC-ING-009</t>
        </is>
      </c>
      <c r="B108" s="25" t="inlineStr">
        <is>
          <t>Transaction Ingestion &amp; Idempotency</t>
        </is>
      </c>
      <c r="C108" s="25" t="inlineStr">
        <is>
          <t>§16</t>
        </is>
      </c>
      <c r="D108" s="25" t="inlineStr">
        <is>
          <t>Source and normalized status separate</t>
        </is>
      </c>
      <c r="E108" s="25" t="inlineStr">
        <is>
          <t>Source status 'SUCC'</t>
        </is>
      </c>
      <c r="F108" s="25" t="inlineStr">
        <is>
          <t>1. Ingest</t>
        </is>
      </c>
      <c r="G108" s="25" t="inlineStr">
        <is>
          <t>—</t>
        </is>
      </c>
      <c r="H108" s="25" t="inlineStr">
        <is>
          <t>Normalized Completed; source 'SUCC' preserved</t>
        </is>
      </c>
      <c r="I108" s="25" t="inlineStr">
        <is>
          <t>P2</t>
        </is>
      </c>
      <c r="J108" s="25" t="inlineStr">
        <is>
          <t>Data</t>
        </is>
      </c>
      <c r="K108" s="25" t="inlineStr">
        <is>
          <t>Integration</t>
        </is>
      </c>
      <c r="L108" s="26" t="inlineStr">
        <is>
          <t>Pass</t>
        </is>
      </c>
      <c r="M108" s="26" t="inlineStr">
        <is>
          <t>Normalized Completed; source status 'SUCC' preserved.</t>
        </is>
      </c>
      <c r="N108" s="26" t="inlineStr">
        <is>
          <t>Claude (automated test suite)</t>
        </is>
      </c>
      <c r="O108" s="27" t="n">
        <v>46310</v>
      </c>
      <c r="P108" s="26" t="n"/>
      <c r="Q108" s="26" t="inlineStr">
        <is>
          <t>Automated: TransactionsTests.Source_status_preserved</t>
        </is>
      </c>
    </row>
    <row r="109" ht="22.35" customHeight="1" s="15">
      <c r="A109" s="25" t="inlineStr">
        <is>
          <t>TC-ING-010</t>
        </is>
      </c>
      <c r="B109" s="25" t="inlineStr">
        <is>
          <t>Transaction Ingestion &amp; Idempotency</t>
        </is>
      </c>
      <c r="C109" s="25" t="inlineStr">
        <is>
          <t>§16</t>
        </is>
      </c>
      <c r="D109" s="25" t="inlineStr">
        <is>
          <t>Reconciliation of counts and amounts</t>
        </is>
      </c>
      <c r="E109" s="25" t="inlineStr">
        <is>
          <t>Source reports 1000 txns / 50,000 JOD</t>
        </is>
      </c>
      <c r="F109" s="25" t="inlineStr">
        <is>
          <t>1. Run reconciliation</t>
        </is>
      </c>
      <c r="G109" s="25" t="inlineStr">
        <is>
          <t>—</t>
        </is>
      </c>
      <c r="H109" s="25" t="inlineStr">
        <is>
          <t>Match or difference report per source and day</t>
        </is>
      </c>
      <c r="I109" s="25" t="inlineStr">
        <is>
          <t>P1</t>
        </is>
      </c>
      <c r="J109" s="25" t="inlineStr">
        <is>
          <t>Data</t>
        </is>
      </c>
      <c r="K109" s="25" t="inlineStr">
        <is>
          <t>Integration</t>
        </is>
      </c>
      <c r="L109" s="26" t="inlineStr">
        <is>
          <t>Pass</t>
        </is>
      </c>
      <c r="M109" s="26" t="inlineStr">
        <is>
          <t>Source reported 3 / 300 JOD for 11/14/2019; imported 2 / 200.0000 → Mismatch (count diff 1, amount diff 100.0000) per source/day/currency.</t>
        </is>
      </c>
      <c r="N109" s="26" t="inlineStr">
        <is>
          <t>Claude (automated test suite)</t>
        </is>
      </c>
      <c r="O109" s="27" t="n">
        <v>46310</v>
      </c>
      <c r="P109" s="26" t="n"/>
      <c r="Q109" s="26" t="inlineStr">
        <is>
          <t>Automated: TransactionsTests.Reconciliation</t>
        </is>
      </c>
    </row>
    <row r="110" ht="22.35" customHeight="1" s="15">
      <c r="A110" s="25" t="inlineStr">
        <is>
          <t>TC-ING-011</t>
        </is>
      </c>
      <c r="B110" s="25" t="inlineStr">
        <is>
          <t>Transaction Ingestion &amp; Idempotency</t>
        </is>
      </c>
      <c r="C110" s="25" t="inlineStr">
        <is>
          <t>§16</t>
        </is>
      </c>
      <c r="D110" s="25" t="inlineStr">
        <is>
          <t>Re-ingestion does not duplicate alerts</t>
        </is>
      </c>
      <c r="E110" s="25" t="inlineStr">
        <is>
          <t>Alert from T-1</t>
        </is>
      </c>
      <c r="F110" s="25" t="inlineStr">
        <is>
          <t>1. Re-ingest T-1 and rerun rules</t>
        </is>
      </c>
      <c r="G110" s="25" t="inlineStr">
        <is>
          <t>—</t>
        </is>
      </c>
      <c r="H110" s="25" t="inlineStr">
        <is>
          <t>No new alert</t>
        </is>
      </c>
      <c r="I110" s="25" t="inlineStr">
        <is>
          <t>P1</t>
        </is>
      </c>
      <c r="J110" s="25" t="inlineStr">
        <is>
          <t>Functional</t>
        </is>
      </c>
      <c r="K110" s="25" t="inlineStr">
        <is>
          <t>Integration</t>
        </is>
      </c>
      <c r="L110" s="26" t="inlineStr">
        <is>
          <t>Pass</t>
        </is>
      </c>
      <c r="M110" s="26" t="inlineStr">
        <is>
          <t>Re-ingested the same transaction and reran the rule 3 times → exactly one alert (deduplicated by rule+version+subject+day key; DB unique index).</t>
        </is>
      </c>
      <c r="N110" s="26" t="inlineStr">
        <is>
          <t>Claude (automated test suite)</t>
        </is>
      </c>
      <c r="O110" s="27" t="n">
        <v>46310</v>
      </c>
      <c r="P110" s="26" t="n"/>
      <c r="Q110" s="26" t="inlineStr">
        <is>
          <t>Automated: RuleWorkflowTests.Reingestion_and_rerun_no_duplicate_alert</t>
        </is>
      </c>
    </row>
    <row r="111" ht="32.8" customHeight="1" s="15">
      <c r="A111" s="25" t="inlineStr">
        <is>
          <t>TC-ING-012</t>
        </is>
      </c>
      <c r="B111" s="25" t="inlineStr">
        <is>
          <t>Transaction Ingestion &amp; Idempotency</t>
        </is>
      </c>
      <c r="C111" s="25" t="inlineStr">
        <is>
          <t>§16</t>
        </is>
      </c>
      <c r="D111" s="25" t="inlineStr">
        <is>
          <t>Outbox publishes event exactly once</t>
        </is>
      </c>
      <c r="E111" s="25" t="inlineStr">
        <is>
          <t>Outbox enabled</t>
        </is>
      </c>
      <c r="F111" s="25" t="inlineStr">
        <is>
          <t>1. Commit transaction
2. crash before publish
3. restart</t>
        </is>
      </c>
      <c r="G111" s="25" t="inlineStr">
        <is>
          <t>—</t>
        </is>
      </c>
      <c r="H111" s="25" t="inlineStr">
        <is>
          <t>Event published once after restart</t>
        </is>
      </c>
      <c r="I111" s="25" t="inlineStr">
        <is>
          <t>P2</t>
        </is>
      </c>
      <c r="J111" s="25" t="inlineStr">
        <is>
          <t>Integration</t>
        </is>
      </c>
      <c r="K111" s="25" t="inlineStr">
        <is>
          <t>Integration</t>
        </is>
      </c>
      <c r="L111" s="26" t="inlineStr">
        <is>
          <t>Pass</t>
        </is>
      </c>
      <c r="M111" s="26" t="inlineStr">
        <is>
          <t>Outbox row committed with the transaction; published by worker; after simulated crash (row un-marked) the re-run did not publish again — 1 published event for message 85901976-078b-4cfb-b72b-049e4484fd8d (consumer de-duplication by message ID).</t>
        </is>
      </c>
      <c r="N111" s="26" t="inlineStr">
        <is>
          <t>Claude (automated test suite)</t>
        </is>
      </c>
      <c r="O111" s="27" t="n">
        <v>46310</v>
      </c>
      <c r="P111" s="26" t="n"/>
      <c r="Q111" s="26" t="inlineStr">
        <is>
          <t>Automated: TransactionsTests.Outbox_exactly_once</t>
        </is>
      </c>
    </row>
    <row r="112" ht="22.35" customHeight="1" s="15">
      <c r="A112" s="25" t="inlineStr">
        <is>
          <t>TC-ING-013</t>
        </is>
      </c>
      <c r="B112" s="25" t="inlineStr">
        <is>
          <t>Transaction Ingestion &amp; Idempotency</t>
        </is>
      </c>
      <c r="C112" s="25" t="inlineStr">
        <is>
          <t>§16</t>
        </is>
      </c>
      <c r="D112" s="25" t="inlineStr">
        <is>
          <t>Raw payload access restricted</t>
        </is>
      </c>
      <c r="E112" s="25" t="inlineStr">
        <is>
          <t>User without raw-data permission</t>
        </is>
      </c>
      <c r="F112" s="25" t="inlineStr">
        <is>
          <t>1. Request raw payload</t>
        </is>
      </c>
      <c r="G112" s="25" t="inlineStr">
        <is>
          <t>—</t>
        </is>
      </c>
      <c r="H112" s="25" t="inlineStr">
        <is>
          <t>HTTP 403</t>
        </is>
      </c>
      <c r="I112" s="25" t="inlineStr">
        <is>
          <t>P1</t>
        </is>
      </c>
      <c r="J112" s="25" t="inlineStr">
        <is>
          <t>Security</t>
        </is>
      </c>
      <c r="K112" s="25" t="inlineStr">
        <is>
          <t>API</t>
        </is>
      </c>
      <c r="L112" s="26" t="inlineStr">
        <is>
          <t>Pass</t>
        </is>
      </c>
      <c r="M112" s="26" t="inlineStr">
        <is>
          <t>Officer (no transactions.raw) → 403 and ordinary detail excludes raw payload; manager with permission reads it (audited RAW_PAYLOAD_READ).</t>
        </is>
      </c>
      <c r="N112" s="26" t="inlineStr">
        <is>
          <t>Claude (automated test suite)</t>
        </is>
      </c>
      <c r="O112" s="27" t="n">
        <v>46310</v>
      </c>
      <c r="P112" s="26" t="n"/>
      <c r="Q112" s="26" t="inlineStr">
        <is>
          <t>Automated: TransactionsTests.Raw_payload_restricted</t>
        </is>
      </c>
    </row>
    <row r="113" ht="22.35" customHeight="1" s="15">
      <c r="A113" s="25" t="inlineStr">
        <is>
          <t>TC-ING-014</t>
        </is>
      </c>
      <c r="B113" s="25" t="inlineStr">
        <is>
          <t>Transaction Ingestion &amp; Idempotency</t>
        </is>
      </c>
      <c r="C113" s="25" t="inlineStr">
        <is>
          <t>§16</t>
        </is>
      </c>
      <c r="D113" s="25" t="inlineStr">
        <is>
          <t>Money stored as DECIMAL</t>
        </is>
      </c>
      <c r="E113" s="25" t="inlineStr">
        <is>
          <t>—</t>
        </is>
      </c>
      <c r="F113" s="25" t="inlineStr">
        <is>
          <t>1. Ingest 0.1+0.2 amounts</t>
        </is>
      </c>
      <c r="G113" s="25" t="inlineStr">
        <is>
          <t>0.1, 0.2</t>
        </is>
      </c>
      <c r="H113" s="25" t="inlineStr">
        <is>
          <t>Sum 0.3 exactly; no float rounding</t>
        </is>
      </c>
      <c r="I113" s="25" t="inlineStr">
        <is>
          <t>P2</t>
        </is>
      </c>
      <c r="J113" s="25" t="inlineStr">
        <is>
          <t>Data</t>
        </is>
      </c>
      <c r="K113" s="25" t="inlineStr">
        <is>
          <t>Unit</t>
        </is>
      </c>
      <c r="L113" s="26" t="inlineStr">
        <is>
          <t>Pass</t>
        </is>
      </c>
      <c r="M113" s="26" t="inlineStr">
        <is>
          <t>0.1 + 0.2 = 0.3000 exactly; Amount column type decimal(19,4).</t>
        </is>
      </c>
      <c r="N113" s="26" t="inlineStr">
        <is>
          <t>Claude (automated test suite)</t>
        </is>
      </c>
      <c r="O113" s="27" t="n">
        <v>46310</v>
      </c>
      <c r="P113" s="26" t="n"/>
      <c r="Q113" s="26" t="inlineStr">
        <is>
          <t>Automated: TransactionsTests.Decimal_money</t>
        </is>
      </c>
    </row>
    <row r="114" ht="22.35" customHeight="1" s="15">
      <c r="A114" s="25" t="inlineStr">
        <is>
          <t>TC-FXT-001</t>
        </is>
      </c>
      <c r="B114" s="25" t="inlineStr">
        <is>
          <t>Currency, Time Zone &amp; Calendar</t>
        </is>
      </c>
      <c r="C114" s="25" t="inlineStr">
        <is>
          <t>§24</t>
        </is>
      </c>
      <c r="D114" s="25" t="inlineStr">
        <is>
          <t>Cross-currency sum uses versioned FX</t>
        </is>
      </c>
      <c r="E114" s="25" t="inlineStr">
        <is>
          <t>Base JOD; USD rate 0.709 effective today</t>
        </is>
      </c>
      <c r="F114" s="25" t="inlineStr">
        <is>
          <t>1. Sum 1000 USD + 500 JOD in rule</t>
        </is>
      </c>
      <c r="G114" s="25" t="inlineStr">
        <is>
          <t>—</t>
        </is>
      </c>
      <c r="H114" s="25" t="inlineStr">
        <is>
          <t>Aggregate 1209 JOD; evidence stores rate and date</t>
        </is>
      </c>
      <c r="I114" s="25" t="inlineStr">
        <is>
          <t>P1</t>
        </is>
      </c>
      <c r="J114" s="25" t="inlineStr">
        <is>
          <t>Functional</t>
        </is>
      </c>
      <c r="K114" s="25" t="inlineStr">
        <is>
          <t>Unit</t>
        </is>
      </c>
      <c r="L114" s="26" t="inlineStr">
        <is>
          <t>Pass</t>
        </is>
      </c>
      <c r="M114" s="26" t="inlineStr">
        <is>
          <t>Aggregate 1209 JOD; rate 0.709 effective 2026-03-10 v1 kept in evidence.</t>
        </is>
      </c>
      <c r="N114" s="26" t="inlineStr">
        <is>
          <t>Claude (automated test suite)</t>
        </is>
      </c>
      <c r="O114" s="27" t="n">
        <v>46310</v>
      </c>
      <c r="P114" s="26" t="n"/>
      <c r="Q114" s="26" t="inlineStr">
        <is>
          <t>Automated: RuleEngineTests.Cross_currency_sum</t>
        </is>
      </c>
    </row>
    <row r="115" ht="22.35" customHeight="1" s="15">
      <c r="A115" s="25" t="inlineStr">
        <is>
          <t>TC-FXT-002</t>
        </is>
      </c>
      <c r="B115" s="25" t="inlineStr">
        <is>
          <t>Currency, Time Zone &amp; Calendar</t>
        </is>
      </c>
      <c r="C115" s="25" t="inlineStr">
        <is>
          <t>§24</t>
        </is>
      </c>
      <c r="D115" s="25" t="inlineStr">
        <is>
          <t>Rate effective at transaction time</t>
        </is>
      </c>
      <c r="E115" s="25" t="inlineStr">
        <is>
          <t>Rate changed at 12:00</t>
        </is>
      </c>
      <c r="F115" s="25" t="inlineStr">
        <is>
          <t>1. Transactions at 11:00 and 13:00</t>
        </is>
      </c>
      <c r="G115" s="25" t="inlineStr">
        <is>
          <t>—</t>
        </is>
      </c>
      <c r="H115" s="25" t="inlineStr">
        <is>
          <t>Each converted with its effective rate</t>
        </is>
      </c>
      <c r="I115" s="25" t="inlineStr">
        <is>
          <t>P2</t>
        </is>
      </c>
      <c r="J115" s="25" t="inlineStr">
        <is>
          <t>Functional</t>
        </is>
      </c>
      <c r="K115" s="25" t="inlineStr">
        <is>
          <t>Unit</t>
        </is>
      </c>
      <c r="L115" s="26" t="inlineStr">
        <is>
          <t>Pass</t>
        </is>
      </c>
      <c r="M115" s="26" t="inlineStr">
        <is>
          <t>11:00 converted at 0.70 (v1); 13:00 converted at 0.71 (v2).</t>
        </is>
      </c>
      <c r="N115" s="26" t="inlineStr">
        <is>
          <t>Claude (automated test suite)</t>
        </is>
      </c>
      <c r="O115" s="27" t="n">
        <v>46310</v>
      </c>
      <c r="P115" s="26" t="n"/>
      <c r="Q115" s="26" t="inlineStr">
        <is>
          <t>Automated: RuleEngineTests.Rate_effective_at_transaction_time</t>
        </is>
      </c>
    </row>
    <row r="116" ht="22.35" customHeight="1" s="15">
      <c r="A116" s="25" t="inlineStr">
        <is>
          <t>TC-FXT-003</t>
        </is>
      </c>
      <c r="B116" s="25" t="inlineStr">
        <is>
          <t>Currency, Time Zone &amp; Calendar</t>
        </is>
      </c>
      <c r="C116" s="25" t="inlineStr">
        <is>
          <t>§24</t>
        </is>
      </c>
      <c r="D116" s="25" t="inlineStr">
        <is>
          <t>Missing FX rate</t>
        </is>
      </c>
      <c r="E116" s="25" t="inlineStr">
        <is>
          <t>No rate for XYZ</t>
        </is>
      </c>
      <c r="F116" s="25" t="inlineStr">
        <is>
          <t>1. Ingest XYZ transaction
2. run rule</t>
        </is>
      </c>
      <c r="G116" s="25" t="inlineStr">
        <is>
          <t>—</t>
        </is>
      </c>
      <c r="H116" s="25" t="inlineStr">
        <is>
          <t>Data-quality issue; rate never defaults to 1; conversion marked missing</t>
        </is>
      </c>
      <c r="I116" s="25" t="inlineStr">
        <is>
          <t>P1</t>
        </is>
      </c>
      <c r="J116" s="25" t="inlineStr">
        <is>
          <t>Negative</t>
        </is>
      </c>
      <c r="K116" s="25" t="inlineStr">
        <is>
          <t>Integration</t>
        </is>
      </c>
      <c r="L116" s="26" t="inlineStr">
        <is>
          <t>Pass</t>
        </is>
      </c>
      <c r="M116" s="26" t="inlineStr">
        <is>
          <t>Conversion status 'Missing', base amount null (never 1); missing-FX transaction excluded from sums and reported in evidence. | XYZ transaction stored with FxStatus Missing, base amount and rate null (never 1); MissingFxRate data-quality issue created; rule sums exclude it (see unit TC-FXT-003).</t>
        </is>
      </c>
      <c r="N116" s="26" t="inlineStr">
        <is>
          <t>Claude (automated test suite)</t>
        </is>
      </c>
      <c r="O116" s="27" t="n">
        <v>46310</v>
      </c>
      <c r="P116" s="26" t="n"/>
      <c r="Q116" s="26" t="inlineStr">
        <is>
          <t>Automated: RuleEngineTests.Missing_rate_never_one; TransactionsTests.Missing_fx_flagged</t>
        </is>
      </c>
    </row>
    <row r="117" ht="22.35" customHeight="1" s="15">
      <c r="A117" s="25" t="inlineStr">
        <is>
          <t>TC-FXT-004</t>
        </is>
      </c>
      <c r="B117" s="25" t="inlineStr">
        <is>
          <t>Currency, Time Zone &amp; Calendar</t>
        </is>
      </c>
      <c r="C117" s="25" t="inlineStr">
        <is>
          <t>§24</t>
        </is>
      </c>
      <c r="D117" s="25" t="inlineStr">
        <is>
          <t>Original amount preserved</t>
        </is>
      </c>
      <c r="E117" s="25" t="inlineStr">
        <is>
          <t>—</t>
        </is>
      </c>
      <c r="F117" s="25" t="inlineStr">
        <is>
          <t>1. Open alert evidence</t>
        </is>
      </c>
      <c r="G117" s="25" t="inlineStr">
        <is>
          <t>—</t>
        </is>
      </c>
      <c r="H117" s="25" t="inlineStr">
        <is>
          <t>Original amount, currency, rate, converted amount shown</t>
        </is>
      </c>
      <c r="I117" s="25" t="inlineStr">
        <is>
          <t>P2</t>
        </is>
      </c>
      <c r="J117" s="25" t="inlineStr">
        <is>
          <t>Data</t>
        </is>
      </c>
      <c r="K117" s="25" t="inlineStr">
        <is>
          <t>E2E</t>
        </is>
      </c>
      <c r="L117" s="26" t="inlineStr">
        <is>
          <t>Pass</t>
        </is>
      </c>
      <c r="M117" s="26" t="inlineStr">
        <is>
          <t>Original 1000 USD, rate 0.70900000 (date 2020-01-01T00:00:00Z, v1), base 709.0000 JOD persisted on the transaction and copied into alert evidence.</t>
        </is>
      </c>
      <c r="N117" s="26" t="inlineStr">
        <is>
          <t>Claude (automated test suite)</t>
        </is>
      </c>
      <c r="O117" s="27" t="n">
        <v>46310</v>
      </c>
      <c r="P117" s="26" t="n"/>
      <c r="Q117" s="26" t="inlineStr">
        <is>
          <t>Automated: TransactionsTests.Fx_evidence_persisted</t>
        </is>
      </c>
    </row>
    <row r="118" ht="22.35" customHeight="1" s="15">
      <c r="A118" s="25" t="inlineStr">
        <is>
          <t>TC-FXT-005</t>
        </is>
      </c>
      <c r="B118" s="25" t="inlineStr">
        <is>
          <t>Currency, Time Zone &amp; Calendar</t>
        </is>
      </c>
      <c r="C118" s="25" t="inlineStr">
        <is>
          <t>§24</t>
        </is>
      </c>
      <c r="D118" s="25" t="inlineStr">
        <is>
          <t>Daily window in local time</t>
        </is>
      </c>
      <c r="E118" s="25" t="inlineStr">
        <is>
          <t>TZ Asia/Amman</t>
        </is>
      </c>
      <c r="F118" s="25" t="inlineStr">
        <is>
          <t>1. Transactions at 23:30 and 00:30 local</t>
        </is>
      </c>
      <c r="G118" s="25" t="inlineStr">
        <is>
          <t>—</t>
        </is>
      </c>
      <c r="H118" s="25" t="inlineStr">
        <is>
          <t>Counted in two different calendar days; boundaries in evidence</t>
        </is>
      </c>
      <c r="I118" s="25" t="inlineStr">
        <is>
          <t>P1</t>
        </is>
      </c>
      <c r="J118" s="25" t="inlineStr">
        <is>
          <t>Functional</t>
        </is>
      </c>
      <c r="K118" s="25" t="inlineStr">
        <is>
          <t>Unit</t>
        </is>
      </c>
      <c r="L118" s="26" t="inlineStr">
        <is>
          <t>Pass</t>
        </is>
      </c>
      <c r="M118" s="26" t="inlineStr">
        <is>
          <t>23:30 and 00:30 local counted in different calendar days (day starts 2026-03-09T21:00:00.0000000Z and 2026-03-10T21:00:00.0000000Z UTC); no match for count&gt;=2.</t>
        </is>
      </c>
      <c r="N118" s="26" t="inlineStr">
        <is>
          <t>Claude (automated test suite)</t>
        </is>
      </c>
      <c r="O118" s="27" t="n">
        <v>46310</v>
      </c>
      <c r="P118" s="26" t="n"/>
      <c r="Q118" s="26" t="inlineStr">
        <is>
          <t>Automated: RuleEngineTests.Calendar_day_local</t>
        </is>
      </c>
    </row>
    <row r="119" ht="22.35" customHeight="1" s="15">
      <c r="A119" s="25" t="inlineStr">
        <is>
          <t>TC-FXT-006</t>
        </is>
      </c>
      <c r="B119" s="25" t="inlineStr">
        <is>
          <t>Currency, Time Zone &amp; Calendar</t>
        </is>
      </c>
      <c r="C119" s="25" t="inlineStr">
        <is>
          <t>§24</t>
        </is>
      </c>
      <c r="D119" s="25" t="inlineStr">
        <is>
          <t>Rolling 24h window across midnight</t>
        </is>
      </c>
      <c r="E119" s="25" t="inlineStr">
        <is>
          <t>Rolling rule</t>
        </is>
      </c>
      <c r="F119" s="25" t="inlineStr">
        <is>
          <t>1. Same two transactions</t>
        </is>
      </c>
      <c r="G119" s="25" t="inlineStr">
        <is>
          <t>—</t>
        </is>
      </c>
      <c r="H119" s="25" t="inlineStr">
        <is>
          <t>Both in same 24h window</t>
        </is>
      </c>
      <c r="I119" s="25" t="inlineStr">
        <is>
          <t>P1</t>
        </is>
      </c>
      <c r="J119" s="25" t="inlineStr">
        <is>
          <t>Functional</t>
        </is>
      </c>
      <c r="K119" s="25" t="inlineStr">
        <is>
          <t>Unit</t>
        </is>
      </c>
      <c r="L119" s="26" t="inlineStr">
        <is>
          <t>Pass</t>
        </is>
      </c>
      <c r="M119" s="26" t="inlineStr">
        <is>
          <t>Same two transactions fall in one rolling 24h window → match.</t>
        </is>
      </c>
      <c r="N119" s="26" t="inlineStr">
        <is>
          <t>Claude (automated test suite)</t>
        </is>
      </c>
      <c r="O119" s="27" t="n">
        <v>46310</v>
      </c>
      <c r="P119" s="26" t="n"/>
      <c r="Q119" s="26" t="inlineStr">
        <is>
          <t>Automated: RuleEngineTests.Rolling_across_midnight</t>
        </is>
      </c>
    </row>
    <row r="120" ht="22.35" customHeight="1" s="15">
      <c r="A120" s="25" t="inlineStr">
        <is>
          <t>TC-FXT-007</t>
        </is>
      </c>
      <c r="B120" s="25" t="inlineStr">
        <is>
          <t>Currency, Time Zone &amp; Calendar</t>
        </is>
      </c>
      <c r="C120" s="25" t="inlineStr">
        <is>
          <t>§24</t>
        </is>
      </c>
      <c r="D120" s="25" t="inlineStr">
        <is>
          <t>Monthly window boundaries</t>
        </is>
      </c>
      <c r="E120" s="25" t="inlineStr">
        <is>
          <t>Calendar month</t>
        </is>
      </c>
      <c r="F120" s="25" t="inlineStr">
        <is>
          <t>1. Transactions on last and first day</t>
        </is>
      </c>
      <c r="G120" s="25" t="inlineStr">
        <is>
          <t>—</t>
        </is>
      </c>
      <c r="H120" s="25" t="inlineStr">
        <is>
          <t>Correct month assignment in local TZ</t>
        </is>
      </c>
      <c r="I120" s="25" t="inlineStr">
        <is>
          <t>P2</t>
        </is>
      </c>
      <c r="J120" s="25" t="inlineStr">
        <is>
          <t>Functional</t>
        </is>
      </c>
      <c r="K120" s="25" t="inlineStr">
        <is>
          <t>Unit</t>
        </is>
      </c>
      <c r="L120" s="26" t="inlineStr">
        <is>
          <t>Pass</t>
        </is>
      </c>
      <c r="M120" s="26" t="inlineStr">
        <is>
          <t>Transaction at 31-Mar 23:00 local assigned to March; 01-Apr 00:30 local (still 31-Mar UTC) assigned to April.</t>
        </is>
      </c>
      <c r="N120" s="26" t="inlineStr">
        <is>
          <t>Claude (automated test suite)</t>
        </is>
      </c>
      <c r="O120" s="27" t="n">
        <v>46310</v>
      </c>
      <c r="P120" s="26" t="n"/>
      <c r="Q120" s="26" t="inlineStr">
        <is>
          <t>Automated: RuleEngineTests.Monthly_boundaries_local</t>
        </is>
      </c>
    </row>
    <row r="121" ht="22.35" customHeight="1" s="15">
      <c r="A121" s="25" t="inlineStr">
        <is>
          <t>TC-FXT-008</t>
        </is>
      </c>
      <c r="B121" s="25" t="inlineStr">
        <is>
          <t>Currency, Time Zone &amp; Calendar</t>
        </is>
      </c>
      <c r="C121" s="25" t="inlineStr">
        <is>
          <t>§24</t>
        </is>
      </c>
      <c r="D121" s="25" t="inlineStr">
        <is>
          <t>SLA excludes weekends/holidays</t>
        </is>
      </c>
      <c r="E121" s="25" t="inlineStr">
        <is>
          <t>Calendar with Fri/Sat weekend and a holiday</t>
        </is>
      </c>
      <c r="F121" s="25" t="inlineStr">
        <is>
          <t>1. Create alert with 2-working-day SLA on Thursday</t>
        </is>
      </c>
      <c r="G121" s="25" t="inlineStr">
        <is>
          <t>—</t>
        </is>
      </c>
      <c r="H121" s="25" t="inlineStr">
        <is>
          <t>Due date skips weekend/holiday</t>
        </is>
      </c>
      <c r="I121" s="25" t="inlineStr">
        <is>
          <t>P2</t>
        </is>
      </c>
      <c r="J121" s="25" t="inlineStr">
        <is>
          <t>Functional</t>
        </is>
      </c>
      <c r="K121" s="25" t="inlineStr">
        <is>
          <t>Unit</t>
        </is>
      </c>
      <c r="L121" s="26" t="inlineStr">
        <is>
          <t>Pass</t>
        </is>
      </c>
      <c r="M121" s="26" t="inlineStr">
        <is>
          <t>Created Thu 2026-03-12; Fri/Sat weekend and Sun 15-Mar holiday skipped; due 2026-03-17 (Tue) end of day local.</t>
        </is>
      </c>
      <c r="N121" s="26" t="inlineStr">
        <is>
          <t>Claude (automated test suite)</t>
        </is>
      </c>
      <c r="O121" s="27" t="n">
        <v>46310</v>
      </c>
      <c r="P121" s="26" t="n"/>
      <c r="Q121" s="26" t="inlineStr">
        <is>
          <t>Automated: RuleEngineTests.Sla_skips_weekend_and_holiday</t>
        </is>
      </c>
    </row>
    <row r="122" ht="22.35" customHeight="1" s="15">
      <c r="A122" s="25" t="inlineStr">
        <is>
          <t>TC-FXT-009</t>
        </is>
      </c>
      <c r="B122" s="25" t="inlineStr">
        <is>
          <t>Currency, Time Zone &amp; Calendar</t>
        </is>
      </c>
      <c r="C122" s="25" t="inlineStr">
        <is>
          <t>§24</t>
        </is>
      </c>
      <c r="D122" s="25" t="inlineStr">
        <is>
          <t>UTC stored in DB</t>
        </is>
      </c>
      <c r="E122" s="25" t="inlineStr">
        <is>
          <t>—</t>
        </is>
      </c>
      <c r="F122" s="25" t="inlineStr">
        <is>
          <t>1. Inspect stored timestamps</t>
        </is>
      </c>
      <c r="G122" s="25" t="inlineStr">
        <is>
          <t>—</t>
        </is>
      </c>
      <c r="H122" s="25" t="inlineStr">
        <is>
          <t>DATETIME2 UTC values</t>
        </is>
      </c>
      <c r="I122" s="25" t="inlineStr">
        <is>
          <t>P3</t>
        </is>
      </c>
      <c r="J122" s="25" t="inlineStr">
        <is>
          <t>Data</t>
        </is>
      </c>
      <c r="K122" s="25" t="inlineStr">
        <is>
          <t>Integration</t>
        </is>
      </c>
      <c r="L122" s="26" t="inlineStr">
        <is>
          <t>Pass</t>
        </is>
      </c>
      <c r="M122" s="26" t="inlineStr">
        <is>
          <t>Event 10:00+03:00 stored as 2026-03-10 07:00 in datetime2 (UTC); business date computed in Asia/Amman; UI converts to local time.</t>
        </is>
      </c>
      <c r="N122" s="26" t="inlineStr">
        <is>
          <t>Claude (automated test suite)</t>
        </is>
      </c>
      <c r="O122" s="27" t="n">
        <v>46310</v>
      </c>
      <c r="P122" s="26" t="n"/>
      <c r="Q122" s="26" t="inlineStr">
        <is>
          <t>Automated: TransactionsTests.Utc_storage</t>
        </is>
      </c>
    </row>
    <row r="123" ht="22.35" customHeight="1" s="15">
      <c r="A123" s="25" t="inlineStr">
        <is>
          <t>TC-FXT-010</t>
        </is>
      </c>
      <c r="B123" s="25" t="inlineStr">
        <is>
          <t>Currency, Time Zone &amp; Calendar</t>
        </is>
      </c>
      <c r="C123" s="25" t="inlineStr">
        <is>
          <t>§24</t>
        </is>
      </c>
      <c r="D123" s="25" t="inlineStr">
        <is>
          <t>FX rate table versioned and audited</t>
        </is>
      </c>
      <c r="E123" s="25" t="inlineStr">
        <is>
          <t>—</t>
        </is>
      </c>
      <c r="F123" s="25" t="inlineStr">
        <is>
          <t>1. Edit a rate</t>
        </is>
      </c>
      <c r="G123" s="25" t="inlineStr">
        <is>
          <t>—</t>
        </is>
      </c>
      <c r="H123" s="25" t="inlineStr">
        <is>
          <t>New version; old retained; audit record</t>
        </is>
      </c>
      <c r="I123" s="25" t="inlineStr">
        <is>
          <t>P2</t>
        </is>
      </c>
      <c r="J123" s="25" t="inlineStr">
        <is>
          <t>Data</t>
        </is>
      </c>
      <c r="K123" s="25" t="inlineStr">
        <is>
          <t>Integration</t>
        </is>
      </c>
      <c r="L123" s="26" t="inlineStr">
        <is>
          <t>Pass</t>
        </is>
      </c>
      <c r="M123" s="26" t="inlineStr">
        <is>
          <t>Edited GBP rate → new version v2 (0.91); previous version retained (history 2 rows); FX_RATE_EDIT audit with old/new values and reason.</t>
        </is>
      </c>
      <c r="N123" s="26" t="inlineStr">
        <is>
          <t>Claude (automated test suite)</t>
        </is>
      </c>
      <c r="O123" s="27" t="n">
        <v>46310</v>
      </c>
      <c r="P123" s="26" t="n"/>
      <c r="Q123" s="26" t="inlineStr">
        <is>
          <t>Automated: TransactionsTests.Fx_versioned_and_audited</t>
        </is>
      </c>
    </row>
    <row r="124" ht="22.35" customHeight="1" s="15">
      <c r="A124" s="25" t="inlineStr">
        <is>
          <t>TC-RUL-001</t>
        </is>
      </c>
      <c r="B124" s="25" t="inlineStr">
        <is>
          <t>Rule Builder &amp; Execution</t>
        </is>
      </c>
      <c r="C124" s="25" t="inlineStr">
        <is>
          <t>§8</t>
        </is>
      </c>
      <c r="D124" s="25" t="inlineStr">
        <is>
          <t>Create rule draft with nested AND/OR</t>
        </is>
      </c>
      <c r="E124" s="25" t="inlineStr">
        <is>
          <t>Rule-admin</t>
        </is>
      </c>
      <c r="F124" s="25" t="inlineStr">
        <is>
          <t>1. Build (amount&gt;5000 AND channel=Agent) OR count&gt;10 in 24h</t>
        </is>
      </c>
      <c r="G124" s="25" t="inlineStr">
        <is>
          <t>—</t>
        </is>
      </c>
      <c r="H124" s="25" t="inlineStr">
        <is>
          <t>Draft saved; JSON definition validated</t>
        </is>
      </c>
      <c r="I124" s="25" t="inlineStr">
        <is>
          <t>P1</t>
        </is>
      </c>
      <c r="J124" s="25" t="inlineStr">
        <is>
          <t>Functional</t>
        </is>
      </c>
      <c r="K124" s="25" t="inlineStr">
        <is>
          <t>E2E</t>
        </is>
      </c>
      <c r="L124" s="26" t="inlineStr">
        <is>
          <t>Pass</t>
        </is>
      </c>
      <c r="M124" s="26" t="inlineStr">
        <is>
          <t>Rule (amount&gt;5000 AND channel=Agent) OR count&gt;10 in 24h saved as Draft v1; JSON definition validated (valid=true).</t>
        </is>
      </c>
      <c r="N124" s="26" t="inlineStr">
        <is>
          <t>Claude (automated test suite)</t>
        </is>
      </c>
      <c r="O124" s="27" t="n">
        <v>46310</v>
      </c>
      <c r="P124" s="26" t="n"/>
      <c r="Q124" s="26" t="inlineStr">
        <is>
          <t>Automated: RuleWorkflowTests.Create_draft_nested</t>
        </is>
      </c>
    </row>
    <row r="125" ht="15" customHeight="1" s="15">
      <c r="A125" s="25" t="inlineStr">
        <is>
          <t>TC-RUL-002</t>
        </is>
      </c>
      <c r="B125" s="25" t="inlineStr">
        <is>
          <t>Rule Builder &amp; Execution</t>
        </is>
      </c>
      <c r="C125" s="25" t="inlineStr">
        <is>
          <t>§8</t>
        </is>
      </c>
      <c r="D125" s="25" t="inlineStr">
        <is>
          <t>Reject unknown operator</t>
        </is>
      </c>
      <c r="E125" s="25" t="inlineStr">
        <is>
          <t>—</t>
        </is>
      </c>
      <c r="F125" s="25" t="inlineStr">
        <is>
          <t>1. Submit JSON with operator 'exec'</t>
        </is>
      </c>
      <c r="G125" s="25" t="inlineStr">
        <is>
          <t>—</t>
        </is>
      </c>
      <c r="H125" s="25" t="inlineStr">
        <is>
          <t>Validation error; allow-list enforced</t>
        </is>
      </c>
      <c r="I125" s="25" t="inlineStr">
        <is>
          <t>P1</t>
        </is>
      </c>
      <c r="J125" s="25" t="inlineStr">
        <is>
          <t>Security</t>
        </is>
      </c>
      <c r="K125" s="25" t="inlineStr">
        <is>
          <t>API</t>
        </is>
      </c>
      <c r="L125" s="26" t="inlineStr">
        <is>
          <t>Pass</t>
        </is>
      </c>
      <c r="M125" s="26" t="inlineStr">
        <is>
          <t>Validation errors: Unknown operator 'exec'. Allowed: eq, neq, gt, gte, lt, lte, between, in, notIn, contains.</t>
        </is>
      </c>
      <c r="N125" s="26" t="inlineStr">
        <is>
          <t>Claude (automated test suite)</t>
        </is>
      </c>
      <c r="O125" s="27" t="n">
        <v>46310</v>
      </c>
      <c r="P125" s="26" t="n"/>
      <c r="Q125" s="26" t="inlineStr">
        <is>
          <t>Automated: RuleEngineTests.Unknown_operator_rejected</t>
        </is>
      </c>
    </row>
    <row r="126" ht="22.35" customHeight="1" s="15">
      <c r="A126" s="25" t="inlineStr">
        <is>
          <t>TC-RUL-003</t>
        </is>
      </c>
      <c r="B126" s="25" t="inlineStr">
        <is>
          <t>Rule Builder &amp; Execution</t>
        </is>
      </c>
      <c r="C126" s="25" t="inlineStr">
        <is>
          <t>§8</t>
        </is>
      </c>
      <c r="D126" s="25" t="inlineStr">
        <is>
          <t>Reject SQL in values</t>
        </is>
      </c>
      <c r="E126" s="25" t="inlineStr">
        <is>
          <t>—</t>
        </is>
      </c>
      <c r="F126" s="25" t="inlineStr">
        <is>
          <t>1. Submit rule condition whose value contains SQL text</t>
        </is>
      </c>
      <c r="G126" s="25" t="inlineStr">
        <is>
          <t>1' OR 1=1 -- DROP TABLE</t>
        </is>
      </c>
      <c r="H126" s="25" t="inlineStr">
        <is>
          <t>Treated as literal or rejected; no SQL executed</t>
        </is>
      </c>
      <c r="I126" s="25" t="inlineStr">
        <is>
          <t>P1</t>
        </is>
      </c>
      <c r="J126" s="25" t="inlineStr">
        <is>
          <t>Security</t>
        </is>
      </c>
      <c r="K126" s="25" t="inlineStr">
        <is>
          <t>API</t>
        </is>
      </c>
      <c r="L126" s="26" t="inlineStr">
        <is>
          <t>Pass</t>
        </is>
      </c>
      <c r="M126" s="26" t="inlineStr">
        <is>
          <t>SQL-like value accepted only as a typed string literal; matched only the transaction whose remarks equal the literal; no SQL is generated by the engine (in-memory interpreter).</t>
        </is>
      </c>
      <c r="N126" s="26" t="inlineStr">
        <is>
          <t>Claude (automated test suite)</t>
        </is>
      </c>
      <c r="O126" s="27" t="n">
        <v>46310</v>
      </c>
      <c r="P126" s="26" t="n"/>
      <c r="Q126" s="26" t="inlineStr">
        <is>
          <t>Automated: RuleEngineTests.Sql_text_in_value_is_literal</t>
        </is>
      </c>
    </row>
    <row r="127" ht="15" customHeight="1" s="15">
      <c r="A127" s="25" t="inlineStr">
        <is>
          <t>TC-RUL-004</t>
        </is>
      </c>
      <c r="B127" s="25" t="inlineStr">
        <is>
          <t>Rule Builder &amp; Execution</t>
        </is>
      </c>
      <c r="C127" s="25" t="inlineStr">
        <is>
          <t>§8</t>
        </is>
      </c>
      <c r="D127" s="25" t="inlineStr">
        <is>
          <t>Type mismatch rejected</t>
        </is>
      </c>
      <c r="E127" s="25" t="inlineStr">
        <is>
          <t>Field amount (decimal)</t>
        </is>
      </c>
      <c r="F127" s="25" t="inlineStr">
        <is>
          <t>1. Operator contains on amount</t>
        </is>
      </c>
      <c r="G127" s="25" t="inlineStr">
        <is>
          <t>—</t>
        </is>
      </c>
      <c r="H127" s="25" t="inlineStr">
        <is>
          <t>Validation error</t>
        </is>
      </c>
      <c r="I127" s="25" t="inlineStr">
        <is>
          <t>P2</t>
        </is>
      </c>
      <c r="J127" s="25" t="inlineStr">
        <is>
          <t>Negative</t>
        </is>
      </c>
      <c r="K127" s="25" t="inlineStr">
        <is>
          <t>API</t>
        </is>
      </c>
      <c r="L127" s="26" t="inlineStr">
        <is>
          <t>Pass</t>
        </is>
      </c>
      <c r="M127" s="26" t="inlineStr">
        <is>
          <t>Rejected: Operator 'contains' is not compatible with Number field 'txn.amount'.</t>
        </is>
      </c>
      <c r="N127" s="26" t="inlineStr">
        <is>
          <t>Claude (automated test suite)</t>
        </is>
      </c>
      <c r="O127" s="27" t="n">
        <v>46310</v>
      </c>
      <c r="P127" s="26" t="n"/>
      <c r="Q127" s="26" t="inlineStr">
        <is>
          <t>Automated: RuleEngineTests.Type_mismatch_rejected</t>
        </is>
      </c>
    </row>
    <row r="128" ht="15" customHeight="1" s="15">
      <c r="A128" s="25" t="inlineStr">
        <is>
          <t>TC-RUL-005</t>
        </is>
      </c>
      <c r="B128" s="25" t="inlineStr">
        <is>
          <t>Rule Builder &amp; Execution</t>
        </is>
      </c>
      <c r="C128" s="25" t="inlineStr">
        <is>
          <t>§8</t>
        </is>
      </c>
      <c r="D128" s="25" t="inlineStr">
        <is>
          <t>Between operator inclusive bounds</t>
        </is>
      </c>
      <c r="E128" s="25" t="inlineStr">
        <is>
          <t>between 1000 and 2000</t>
        </is>
      </c>
      <c r="F128" s="25" t="inlineStr">
        <is>
          <t>1. Values 1000, 2000, 2000.01</t>
        </is>
      </c>
      <c r="G128" s="25" t="inlineStr">
        <is>
          <t>—</t>
        </is>
      </c>
      <c r="H128" s="25" t="inlineStr">
        <is>
          <t>Match, match, no match (per documented semantics)</t>
        </is>
      </c>
      <c r="I128" s="25" t="inlineStr">
        <is>
          <t>P2</t>
        </is>
      </c>
      <c r="J128" s="25" t="inlineStr">
        <is>
          <t>Functional</t>
        </is>
      </c>
      <c r="K128" s="25" t="inlineStr">
        <is>
          <t>Unit</t>
        </is>
      </c>
      <c r="L128" s="26" t="inlineStr">
        <is>
          <t>Pass</t>
        </is>
      </c>
      <c r="M128" s="26" t="inlineStr">
        <is>
          <t>1000 → match, 2000 → match, 2000.01 → no match (between is inclusive).</t>
        </is>
      </c>
      <c r="N128" s="26" t="inlineStr">
        <is>
          <t>Claude (automated test suite)</t>
        </is>
      </c>
      <c r="O128" s="27" t="n">
        <v>46310</v>
      </c>
      <c r="P128" s="26" t="n"/>
      <c r="Q128" s="26" t="inlineStr">
        <is>
          <t>Automated: RuleEngineTests.Between_inclusive</t>
        </is>
      </c>
    </row>
    <row r="129" ht="15" customHeight="1" s="15">
      <c r="A129" s="25" t="inlineStr">
        <is>
          <t>TC-RUL-006</t>
        </is>
      </c>
      <c r="B129" s="25" t="inlineStr">
        <is>
          <t>Rule Builder &amp; Execution</t>
        </is>
      </c>
      <c r="C129" s="25" t="inlineStr">
        <is>
          <t>§8</t>
        </is>
      </c>
      <c r="D129" s="25" t="inlineStr">
        <is>
          <t>In list / not in list</t>
        </is>
      </c>
      <c r="E129" s="25" t="inlineStr">
        <is>
          <t>country in [IR,KP]</t>
        </is>
      </c>
      <c r="F129" s="25" t="inlineStr">
        <is>
          <t>1. Evaluate IR and JO</t>
        </is>
      </c>
      <c r="G129" s="25" t="inlineStr">
        <is>
          <t>—</t>
        </is>
      </c>
      <c r="H129" s="25" t="inlineStr">
        <is>
          <t>IR matches; JO not</t>
        </is>
      </c>
      <c r="I129" s="25" t="inlineStr">
        <is>
          <t>P2</t>
        </is>
      </c>
      <c r="J129" s="25" t="inlineStr">
        <is>
          <t>Functional</t>
        </is>
      </c>
      <c r="K129" s="25" t="inlineStr">
        <is>
          <t>Unit</t>
        </is>
      </c>
      <c r="L129" s="26" t="inlineStr">
        <is>
          <t>Pass</t>
        </is>
      </c>
      <c r="M129" s="26" t="inlineStr">
        <is>
          <t>in [IR,KP]: IR matched, JO not; notIn: JO matched, IR not.</t>
        </is>
      </c>
      <c r="N129" s="26" t="inlineStr">
        <is>
          <t>Claude (automated test suite)</t>
        </is>
      </c>
      <c r="O129" s="27" t="n">
        <v>46310</v>
      </c>
      <c r="P129" s="26" t="n"/>
      <c r="Q129" s="26" t="inlineStr">
        <is>
          <t>Automated: RuleEngineTests.In_and_not_in</t>
        </is>
      </c>
    </row>
    <row r="130" ht="15" customHeight="1" s="15">
      <c r="A130" s="25" t="inlineStr">
        <is>
          <t>TC-RUL-007</t>
        </is>
      </c>
      <c r="B130" s="25" t="inlineStr">
        <is>
          <t>Rule Builder &amp; Execution</t>
        </is>
      </c>
      <c r="C130" s="25" t="inlineStr">
        <is>
          <t>§8</t>
        </is>
      </c>
      <c r="D130" s="25" t="inlineStr">
        <is>
          <t>Sum within window</t>
        </is>
      </c>
      <c r="E130" s="25" t="inlineStr">
        <is>
          <t>sum&gt;10000 in 7 days</t>
        </is>
      </c>
      <c r="F130" s="25" t="inlineStr">
        <is>
          <t>1. 3 transactions of 4000</t>
        </is>
      </c>
      <c r="G130" s="25" t="inlineStr">
        <is>
          <t>—</t>
        </is>
      </c>
      <c r="H130" s="25" t="inlineStr">
        <is>
          <t>Match on third</t>
        </is>
      </c>
      <c r="I130" s="25" t="inlineStr">
        <is>
          <t>P1</t>
        </is>
      </c>
      <c r="J130" s="25" t="inlineStr">
        <is>
          <t>Functional</t>
        </is>
      </c>
      <c r="K130" s="25" t="inlineStr">
        <is>
          <t>Unit</t>
        </is>
      </c>
      <c r="L130" s="26" t="inlineStr">
        <is>
          <t>Pass</t>
        </is>
      </c>
      <c r="M130" s="26" t="inlineStr">
        <is>
          <t>Match only on the third 4000 transaction (sum 12000 &gt; 10000 within 7 days).</t>
        </is>
      </c>
      <c r="N130" s="26" t="inlineStr">
        <is>
          <t>Claude (automated test suite)</t>
        </is>
      </c>
      <c r="O130" s="27" t="n">
        <v>46310</v>
      </c>
      <c r="P130" s="26" t="n"/>
      <c r="Q130" s="26" t="inlineStr">
        <is>
          <t>Automated: RuleEngineTests.Sum_within_window</t>
        </is>
      </c>
    </row>
    <row r="131" ht="15" customHeight="1" s="15">
      <c r="A131" s="25" t="inlineStr">
        <is>
          <t>TC-RUL-008</t>
        </is>
      </c>
      <c r="B131" s="25" t="inlineStr">
        <is>
          <t>Rule Builder &amp; Execution</t>
        </is>
      </c>
      <c r="C131" s="25" t="inlineStr">
        <is>
          <t>§8</t>
        </is>
      </c>
      <c r="D131" s="25" t="inlineStr">
        <is>
          <t>Distinct counterparty count</t>
        </is>
      </c>
      <c r="E131" s="25" t="inlineStr">
        <is>
          <t>&gt;=5 senders to one receiver in 24h</t>
        </is>
      </c>
      <c r="F131" s="25" t="inlineStr">
        <is>
          <t>1. 5 distinct senders</t>
        </is>
      </c>
      <c r="G131" s="25" t="inlineStr">
        <is>
          <t>—</t>
        </is>
      </c>
      <c r="H131" s="25" t="inlineStr">
        <is>
          <t>Match; evidence lists senders</t>
        </is>
      </c>
      <c r="I131" s="25" t="inlineStr">
        <is>
          <t>P1</t>
        </is>
      </c>
      <c r="J131" s="25" t="inlineStr">
        <is>
          <t>Functional</t>
        </is>
      </c>
      <c r="K131" s="25" t="inlineStr">
        <is>
          <t>Unit</t>
        </is>
      </c>
      <c r="L131" s="26" t="inlineStr">
        <is>
          <t>Pass</t>
        </is>
      </c>
      <c r="M131" s="26" t="inlineStr">
        <is>
          <t>Match at 5th sender; evidence lists senders 200,201,202,203,204</t>
        </is>
      </c>
      <c r="N131" s="26" t="inlineStr">
        <is>
          <t>Claude (automated test suite)</t>
        </is>
      </c>
      <c r="O131" s="27" t="n">
        <v>46310</v>
      </c>
      <c r="P131" s="26" t="n"/>
      <c r="Q131" s="26" t="inlineStr">
        <is>
          <t>Automated: RuleEngineTests.Distinct_counterparties</t>
        </is>
      </c>
    </row>
    <row r="132" ht="15" customHeight="1" s="15">
      <c r="A132" s="25" t="inlineStr">
        <is>
          <t>TC-RUL-009</t>
        </is>
      </c>
      <c r="B132" s="25" t="inlineStr">
        <is>
          <t>Rule Builder &amp; Execution</t>
        </is>
      </c>
      <c r="C132" s="25" t="inlineStr">
        <is>
          <t>§8</t>
        </is>
      </c>
      <c r="D132" s="25" t="inlineStr">
        <is>
          <t>Elapsed time / rapid movement</t>
        </is>
      </c>
      <c r="E132" s="25" t="inlineStr">
        <is>
          <t>Out within 30 min of in, ≥90%</t>
        </is>
      </c>
      <c r="F132" s="25" t="inlineStr">
        <is>
          <t>1. In 1000 at 10:00, out 950 at 10:20</t>
        </is>
      </c>
      <c r="G132" s="25" t="inlineStr">
        <is>
          <t>—</t>
        </is>
      </c>
      <c r="H132" s="25" t="inlineStr">
        <is>
          <t>Match</t>
        </is>
      </c>
      <c r="I132" s="25" t="inlineStr">
        <is>
          <t>P1</t>
        </is>
      </c>
      <c r="J132" s="25" t="inlineStr">
        <is>
          <t>Functional</t>
        </is>
      </c>
      <c r="K132" s="25" t="inlineStr">
        <is>
          <t>Unit</t>
        </is>
      </c>
      <c r="L132" s="26" t="inlineStr">
        <is>
          <t>Pass</t>
        </is>
      </c>
      <c r="M132" s="26" t="inlineStr">
        <is>
          <t>Match: out/in = 95.00% within 30 minutes.</t>
        </is>
      </c>
      <c r="N132" s="26" t="inlineStr">
        <is>
          <t>Claude (automated test suite)</t>
        </is>
      </c>
      <c r="O132" s="27" t="n">
        <v>46310</v>
      </c>
      <c r="P132" s="26" t="n"/>
      <c r="Q132" s="26" t="inlineStr">
        <is>
          <t>Automated: RuleEngineTests.Rapid_movement</t>
        </is>
      </c>
    </row>
    <row r="133" ht="22.35" customHeight="1" s="15">
      <c r="A133" s="25" t="inlineStr">
        <is>
          <t>TC-RUL-010</t>
        </is>
      </c>
      <c r="B133" s="25" t="inlineStr">
        <is>
          <t>Rule Builder &amp; Execution</t>
        </is>
      </c>
      <c r="C133" s="25" t="inlineStr">
        <is>
          <t>§8</t>
        </is>
      </c>
      <c r="D133" s="25" t="inlineStr">
        <is>
          <t>Structuring near threshold</t>
        </is>
      </c>
      <c r="E133" s="25" t="inlineStr">
        <is>
          <t>3+ txns between 90–99% of threshold in 24h</t>
        </is>
      </c>
      <c r="F133" s="25" t="inlineStr">
        <is>
          <t>1. 3 txns of 950 (threshold 1000)</t>
        </is>
      </c>
      <c r="G133" s="25" t="inlineStr">
        <is>
          <t>—</t>
        </is>
      </c>
      <c r="H133" s="25" t="inlineStr">
        <is>
          <t>Match</t>
        </is>
      </c>
      <c r="I133" s="25" t="inlineStr">
        <is>
          <t>P1</t>
        </is>
      </c>
      <c r="J133" s="25" t="inlineStr">
        <is>
          <t>Functional</t>
        </is>
      </c>
      <c r="K133" s="25" t="inlineStr">
        <is>
          <t>Unit</t>
        </is>
      </c>
      <c r="L133" s="26" t="inlineStr">
        <is>
          <t>Pass</t>
        </is>
      </c>
      <c r="M133" s="26" t="inlineStr">
        <is>
          <t>Match on 3rd transaction of 950 (90–99.99% of 1000); 3 contributing transactions in evidence.</t>
        </is>
      </c>
      <c r="N133" s="26" t="inlineStr">
        <is>
          <t>Claude (automated test suite)</t>
        </is>
      </c>
      <c r="O133" s="27" t="n">
        <v>46310</v>
      </c>
      <c r="P133" s="26" t="n"/>
      <c r="Q133" s="26" t="inlineStr">
        <is>
          <t>Automated: RuleEngineTests.Structuring_near_threshold</t>
        </is>
      </c>
    </row>
    <row r="134" ht="15" customHeight="1" s="15">
      <c r="A134" s="25" t="inlineStr">
        <is>
          <t>TC-RUL-011</t>
        </is>
      </c>
      <c r="B134" s="25" t="inlineStr">
        <is>
          <t>Rule Builder &amp; Execution</t>
        </is>
      </c>
      <c r="C134" s="25" t="inlineStr">
        <is>
          <t>§8</t>
        </is>
      </c>
      <c r="D134" s="25" t="inlineStr">
        <is>
          <t>Dormant activity spike</t>
        </is>
      </c>
      <c r="E134" s="25" t="inlineStr">
        <is>
          <t>Dormant 180 days</t>
        </is>
      </c>
      <c r="F134" s="25" t="inlineStr">
        <is>
          <t>1. Activity after dormancy</t>
        </is>
      </c>
      <c r="G134" s="25" t="inlineStr">
        <is>
          <t>—</t>
        </is>
      </c>
      <c r="H134" s="25" t="inlineStr">
        <is>
          <t>Match</t>
        </is>
      </c>
      <c r="I134" s="25" t="inlineStr">
        <is>
          <t>P2</t>
        </is>
      </c>
      <c r="J134" s="25" t="inlineStr">
        <is>
          <t>Functional</t>
        </is>
      </c>
      <c r="K134" s="25" t="inlineStr">
        <is>
          <t>Unit</t>
        </is>
      </c>
      <c r="L134" s="26" t="inlineStr">
        <is>
          <t>Pass</t>
        </is>
      </c>
      <c r="M134" s="26" t="inlineStr">
        <is>
          <t>Activity after 200 days of dormancy matched (threshold 180).</t>
        </is>
      </c>
      <c r="N134" s="26" t="inlineStr">
        <is>
          <t>Claude (automated test suite)</t>
        </is>
      </c>
      <c r="O134" s="27" t="n">
        <v>46310</v>
      </c>
      <c r="P134" s="26" t="n"/>
      <c r="Q134" s="26" t="inlineStr">
        <is>
          <t>Automated: RuleEngineTests.Dormant_spike</t>
        </is>
      </c>
    </row>
    <row r="135" ht="15" customHeight="1" s="15">
      <c r="A135" s="25" t="inlineStr">
        <is>
          <t>TC-RUL-012</t>
        </is>
      </c>
      <c r="B135" s="25" t="inlineStr">
        <is>
          <t>Rule Builder &amp; Execution</t>
        </is>
      </c>
      <c r="C135" s="25" t="inlineStr">
        <is>
          <t>§8</t>
        </is>
      </c>
      <c r="D135" s="25" t="inlineStr">
        <is>
          <t>Status filter in aggregation</t>
        </is>
      </c>
      <c r="E135" s="25" t="inlineStr">
        <is>
          <t>Only Completed counts</t>
        </is>
      </c>
      <c r="F135" s="25" t="inlineStr">
        <is>
          <t>1. Include Failed and Pending transactions</t>
        </is>
      </c>
      <c r="G135" s="25" t="inlineStr">
        <is>
          <t>—</t>
        </is>
      </c>
      <c r="H135" s="25" t="inlineStr">
        <is>
          <t>Failed/Pending excluded per rule definition</t>
        </is>
      </c>
      <c r="I135" s="25" t="inlineStr">
        <is>
          <t>P1</t>
        </is>
      </c>
      <c r="J135" s="25" t="inlineStr">
        <is>
          <t>Functional</t>
        </is>
      </c>
      <c r="K135" s="25" t="inlineStr">
        <is>
          <t>Unit</t>
        </is>
      </c>
      <c r="L135" s="26" t="inlineStr">
        <is>
          <t>Pass</t>
        </is>
      </c>
      <c r="M135" s="26" t="inlineStr">
        <is>
          <t>Failed and Pending transactions excluded from aggregation; count=1, no match.</t>
        </is>
      </c>
      <c r="N135" s="26" t="inlineStr">
        <is>
          <t>Claude (automated test suite)</t>
        </is>
      </c>
      <c r="O135" s="27" t="n">
        <v>46310</v>
      </c>
      <c r="P135" s="26" t="n"/>
      <c r="Q135" s="26" t="inlineStr">
        <is>
          <t>Automated: RuleEngineTests.Status_filter</t>
        </is>
      </c>
    </row>
    <row r="136" ht="15" customHeight="1" s="15">
      <c r="A136" s="25" t="inlineStr">
        <is>
          <t>TC-RUL-013</t>
        </is>
      </c>
      <c r="B136" s="25" t="inlineStr">
        <is>
          <t>Rule Builder &amp; Execution</t>
        </is>
      </c>
      <c r="C136" s="25" t="inlineStr">
        <is>
          <t>§8</t>
        </is>
      </c>
      <c r="D136" s="25" t="inlineStr">
        <is>
          <t>Reversal netting in aggregation</t>
        </is>
      </c>
      <c r="E136" s="25" t="inlineStr">
        <is>
          <t>Netting enabled</t>
        </is>
      </c>
      <c r="F136" s="25" t="inlineStr">
        <is>
          <t>1. 5000 out, 5000 reversal</t>
        </is>
      </c>
      <c r="G136" s="25" t="inlineStr">
        <is>
          <t>—</t>
        </is>
      </c>
      <c r="H136" s="25" t="inlineStr">
        <is>
          <t>Net 0; no match</t>
        </is>
      </c>
      <c r="I136" s="25" t="inlineStr">
        <is>
          <t>P1</t>
        </is>
      </c>
      <c r="J136" s="25" t="inlineStr">
        <is>
          <t>Functional</t>
        </is>
      </c>
      <c r="K136" s="25" t="inlineStr">
        <is>
          <t>Unit</t>
        </is>
      </c>
      <c r="L136" s="26" t="inlineStr">
        <is>
          <t>Pass</t>
        </is>
      </c>
      <c r="M136" s="26" t="inlineStr">
        <is>
          <t>Net handling: 5000 out fully reversed nets to 0 → no match (Include mode would match).</t>
        </is>
      </c>
      <c r="N136" s="26" t="inlineStr">
        <is>
          <t>Claude (automated test suite)</t>
        </is>
      </c>
      <c r="O136" s="27" t="n">
        <v>46310</v>
      </c>
      <c r="P136" s="26" t="n"/>
      <c r="Q136" s="26" t="inlineStr">
        <is>
          <t>Automated: RuleEngineTests.Reversal_netting</t>
        </is>
      </c>
    </row>
    <row r="137" ht="43.25" customHeight="1" s="15">
      <c r="A137" s="25" t="inlineStr">
        <is>
          <t>TC-RUL-014</t>
        </is>
      </c>
      <c r="B137" s="25" t="inlineStr">
        <is>
          <t>Rule Builder &amp; Execution</t>
        </is>
      </c>
      <c r="C137" s="25" t="inlineStr">
        <is>
          <t>§8</t>
        </is>
      </c>
      <c r="D137" s="25" t="inlineStr">
        <is>
          <t>Rule approval workflow</t>
        </is>
      </c>
      <c r="E137" s="25" t="inlineStr">
        <is>
          <t>Draft rule</t>
        </is>
      </c>
      <c r="F137" s="25" t="inlineStr">
        <is>
          <t>1. Validate
2. Simulate
3. Approve by second user
4. Publish</t>
        </is>
      </c>
      <c r="G137" s="25" t="inlineStr">
        <is>
          <t>—</t>
        </is>
      </c>
      <c r="H137" s="25" t="inlineStr">
        <is>
          <t>Status Active; approver recorded</t>
        </is>
      </c>
      <c r="I137" s="25" t="inlineStr">
        <is>
          <t>P1</t>
        </is>
      </c>
      <c r="J137" s="25" t="inlineStr">
        <is>
          <t>Functional</t>
        </is>
      </c>
      <c r="K137" s="25" t="inlineStr">
        <is>
          <t>E2E</t>
        </is>
      </c>
      <c r="L137" s="26" t="inlineStr">
        <is>
          <t>Pass</t>
        </is>
      </c>
      <c r="M137" s="26" t="inlineStr">
        <is>
          <t>Submit without rationale → 400; author/approver without permission → 403; manager self-approval → 403; validate→simulate→approve(senior)→publish → Active, approver senior, impact '~5 alerts/month' stored.</t>
        </is>
      </c>
      <c r="N137" s="26" t="inlineStr">
        <is>
          <t>Claude (automated test suite)</t>
        </is>
      </c>
      <c r="O137" s="27" t="n">
        <v>46310</v>
      </c>
      <c r="P137" s="26" t="n"/>
      <c r="Q137" s="26" t="inlineStr">
        <is>
          <t>Automated: RuleWorkflowTests.Approval_workflow</t>
        </is>
      </c>
    </row>
    <row r="138" ht="15" customHeight="1" s="15">
      <c r="A138" s="25" t="inlineStr">
        <is>
          <t>TC-RUL-015</t>
        </is>
      </c>
      <c r="B138" s="25" t="inlineStr">
        <is>
          <t>Rule Builder &amp; Execution</t>
        </is>
      </c>
      <c r="C138" s="25" t="inlineStr">
        <is>
          <t>§8</t>
        </is>
      </c>
      <c r="D138" s="25" t="inlineStr">
        <is>
          <t>Seed rules disabled</t>
        </is>
      </c>
      <c r="E138" s="25" t="inlineStr">
        <is>
          <t>Fresh install</t>
        </is>
      </c>
      <c r="F138" s="25" t="inlineStr">
        <is>
          <t>1. Open rule list</t>
        </is>
      </c>
      <c r="G138" s="25" t="inlineStr">
        <is>
          <t>—</t>
        </is>
      </c>
      <c r="H138" s="25" t="inlineStr">
        <is>
          <t>All seed rules disabled/marked sample</t>
        </is>
      </c>
      <c r="I138" s="25" t="inlineStr">
        <is>
          <t>P1</t>
        </is>
      </c>
      <c r="J138" s="25" t="inlineStr">
        <is>
          <t>Functional</t>
        </is>
      </c>
      <c r="K138" s="25" t="inlineStr">
        <is>
          <t>E2E</t>
        </is>
      </c>
      <c r="L138" s="26" t="inlineStr">
        <is>
          <t>Pass</t>
        </is>
      </c>
      <c r="M138" s="26" t="inlineStr">
        <is>
          <t>17 seed rules marked sample and disabled (Disabled,Disabled,Disabled,Disabled,Disabled,Disabled,Disabled,Disabled,Disabled,Disabled,Disabled,Disabled,Disabled,Disabled,Disabled,Disabled,Disabled); scheduler run produced no alerts from them.</t>
        </is>
      </c>
      <c r="N138" s="26" t="inlineStr">
        <is>
          <t>Claude (automated test suite)</t>
        </is>
      </c>
      <c r="O138" s="27" t="n">
        <v>46310</v>
      </c>
      <c r="P138" s="26" t="n"/>
      <c r="Q138" s="26" t="inlineStr">
        <is>
          <t>Automated: RuleWorkflowTests.Seed_rules_disabled</t>
        </is>
      </c>
    </row>
    <row r="139" ht="22.35" customHeight="1" s="15">
      <c r="A139" s="25" t="inlineStr">
        <is>
          <t>TC-RUL-016</t>
        </is>
      </c>
      <c r="B139" s="25" t="inlineStr">
        <is>
          <t>Rule Builder &amp; Execution</t>
        </is>
      </c>
      <c r="C139" s="25" t="inlineStr">
        <is>
          <t>§8</t>
        </is>
      </c>
      <c r="D139" s="25" t="inlineStr">
        <is>
          <t>Execution log recorded</t>
        </is>
      </c>
      <c r="E139" s="25" t="inlineStr">
        <is>
          <t>Active rule</t>
        </is>
      </c>
      <c r="F139" s="25" t="inlineStr">
        <is>
          <t>1. Run</t>
        </is>
      </c>
      <c r="G139" s="25" t="inlineStr">
        <is>
          <t>—</t>
        </is>
      </c>
      <c r="H139" s="25" t="inlineStr">
        <is>
          <t>Rule version, window, records evaluated, matches, errors, status, correlation ID stored</t>
        </is>
      </c>
      <c r="I139" s="25" t="inlineStr">
        <is>
          <t>P1</t>
        </is>
      </c>
      <c r="J139" s="25" t="inlineStr">
        <is>
          <t>Data</t>
        </is>
      </c>
      <c r="K139" s="25" t="inlineStr">
        <is>
          <t>Integration</t>
        </is>
      </c>
      <c r="L139" s="26" t="inlineStr">
        <is>
          <t>Pass</t>
        </is>
      </c>
      <c r="M139" s="26" t="inlineStr">
        <is>
          <t>Execution 94: rule v1, window 2026-10-14T23:00:18.1472192Z..2026-10-15T00:00:18.147222Z, evaluated 0, matches 0, errors 0, status Succeeded, correlation 25d990f4de1b464cba7c426941f99402.</t>
        </is>
      </c>
      <c r="N139" s="26" t="inlineStr">
        <is>
          <t>Claude (automated test suite)</t>
        </is>
      </c>
      <c r="O139" s="27" t="n">
        <v>46310</v>
      </c>
      <c r="P139" s="26" t="n"/>
      <c r="Q139" s="26" t="inlineStr">
        <is>
          <t>Automated: RuleWorkflowTests.Execution_log</t>
        </is>
      </c>
    </row>
    <row r="140" ht="15" customHeight="1" s="15">
      <c r="A140" s="25" t="inlineStr">
        <is>
          <t>TC-RUL-017</t>
        </is>
      </c>
      <c r="B140" s="25" t="inlineStr">
        <is>
          <t>Rule Builder &amp; Execution</t>
        </is>
      </c>
      <c r="C140" s="25" t="inlineStr">
        <is>
          <t>§8</t>
        </is>
      </c>
      <c r="D140" s="25" t="inlineStr">
        <is>
          <t>Backtest dry-run creates no alerts</t>
        </is>
      </c>
      <c r="E140" s="25" t="inlineStr">
        <is>
          <t>Historical data</t>
        </is>
      </c>
      <c r="F140" s="25" t="inlineStr">
        <is>
          <t>1. Run backtest</t>
        </is>
      </c>
      <c r="G140" s="25" t="inlineStr">
        <is>
          <t>—</t>
        </is>
      </c>
      <c r="H140" s="25" t="inlineStr">
        <is>
          <t>Results report only; no operational alerts</t>
        </is>
      </c>
      <c r="I140" s="25" t="inlineStr">
        <is>
          <t>P1</t>
        </is>
      </c>
      <c r="J140" s="25" t="inlineStr">
        <is>
          <t>Functional</t>
        </is>
      </c>
      <c r="K140" s="25" t="inlineStr">
        <is>
          <t>Integration</t>
        </is>
      </c>
      <c r="L140" s="26" t="inlineStr">
        <is>
          <t>Pass</t>
        </is>
      </c>
      <c r="M140" s="26" t="inlineStr">
        <is>
          <t>Dry-run backtest: 2 matches (both parties), 0 alerts; createAlerts without permission → 403; with permission → alerts tagged IsBacktest (key prefix BT), excluded from operational queue, audited RULE_BACKTEST.</t>
        </is>
      </c>
      <c r="N140" s="26" t="inlineStr">
        <is>
          <t>Claude (automated test suite)</t>
        </is>
      </c>
      <c r="O140" s="27" t="n">
        <v>46310</v>
      </c>
      <c r="P140" s="26" t="n"/>
      <c r="Q140" s="26" t="inlineStr">
        <is>
          <t>Automated: RuleWorkflowTests.Backtest</t>
        </is>
      </c>
    </row>
    <row r="141" ht="15" customHeight="1" s="15">
      <c r="A141" s="25" t="inlineStr">
        <is>
          <t>TC-RUL-018</t>
        </is>
      </c>
      <c r="B141" s="25" t="inlineStr">
        <is>
          <t>Rule Builder &amp; Execution</t>
        </is>
      </c>
      <c r="C141" s="25" t="inlineStr">
        <is>
          <t>§8</t>
        </is>
      </c>
      <c r="D141" s="25" t="inlineStr">
        <is>
          <t>Backtest with explicit alert creation</t>
        </is>
      </c>
      <c r="E141" s="25" t="inlineStr">
        <is>
          <t>Permission granted</t>
        </is>
      </c>
      <c r="F141" s="25" t="inlineStr">
        <is>
          <t>1. Run backtest with createAlerts=true</t>
        </is>
      </c>
      <c r="G141" s="25" t="inlineStr">
        <is>
          <t>—</t>
        </is>
      </c>
      <c r="H141" s="25" t="inlineStr">
        <is>
          <t>Alerts created and tagged as backtest; audited</t>
        </is>
      </c>
      <c r="I141" s="25" t="inlineStr">
        <is>
          <t>P3</t>
        </is>
      </c>
      <c r="J141" s="25" t="inlineStr">
        <is>
          <t>Functional</t>
        </is>
      </c>
      <c r="K141" s="25" t="inlineStr">
        <is>
          <t>Integration</t>
        </is>
      </c>
      <c r="L141" s="26" t="inlineStr">
        <is>
          <t>Pass</t>
        </is>
      </c>
      <c r="M141" s="26" t="inlineStr">
        <is>
          <t>Dry-run backtest: 2 matches (both parties), 0 alerts; createAlerts without permission → 403; with permission → alerts tagged IsBacktest (key prefix BT), excluded from operational queue, audited RULE_BACKTEST.</t>
        </is>
      </c>
      <c r="N141" s="26" t="inlineStr">
        <is>
          <t>Claude (automated test suite)</t>
        </is>
      </c>
      <c r="O141" s="27" t="n">
        <v>46310</v>
      </c>
      <c r="P141" s="26" t="n"/>
      <c r="Q141" s="26" t="inlineStr">
        <is>
          <t>Automated: RuleWorkflowTests.Backtest</t>
        </is>
      </c>
    </row>
    <row r="142" ht="15" customHeight="1" s="15">
      <c r="A142" s="25" t="inlineStr">
        <is>
          <t>TC-RUL-019</t>
        </is>
      </c>
      <c r="B142" s="25" t="inlineStr">
        <is>
          <t>Rule Builder &amp; Execution</t>
        </is>
      </c>
      <c r="C142" s="25" t="inlineStr">
        <is>
          <t>§8</t>
        </is>
      </c>
      <c r="D142" s="25" t="inlineStr">
        <is>
          <t>Rule edit creates new version</t>
        </is>
      </c>
      <c r="E142" s="25" t="inlineStr">
        <is>
          <t>Active v1</t>
        </is>
      </c>
      <c r="F142" s="25" t="inlineStr">
        <is>
          <t>1. Edit threshold</t>
        </is>
      </c>
      <c r="G142" s="25" t="inlineStr">
        <is>
          <t>—</t>
        </is>
      </c>
      <c r="H142" s="25" t="inlineStr">
        <is>
          <t>v2 draft; v1 stays active until v2 published</t>
        </is>
      </c>
      <c r="I142" s="25" t="inlineStr">
        <is>
          <t>P1</t>
        </is>
      </c>
      <c r="J142" s="25" t="inlineStr">
        <is>
          <t>Functional</t>
        </is>
      </c>
      <c r="K142" s="25" t="inlineStr">
        <is>
          <t>Integration</t>
        </is>
      </c>
      <c r="L142" s="26" t="inlineStr">
        <is>
          <t>Pass</t>
        </is>
      </c>
      <c r="M142" s="26" t="inlineStr">
        <is>
          <t>Edit created v2 Draft while v1 stayed Active; after approval/publish v2 Active and v1 Superseded (retained for traceable rollback).</t>
        </is>
      </c>
      <c r="N142" s="26" t="inlineStr">
        <is>
          <t>Claude (automated test suite)</t>
        </is>
      </c>
      <c r="O142" s="27" t="n">
        <v>46310</v>
      </c>
      <c r="P142" s="26" t="n"/>
      <c r="Q142" s="26" t="inlineStr">
        <is>
          <t>Automated: RuleWorkflowTests.Edit_creates_new_version</t>
        </is>
      </c>
    </row>
    <row r="143" ht="15" customHeight="1" s="15">
      <c r="A143" s="25" t="inlineStr">
        <is>
          <t>TC-RUL-020</t>
        </is>
      </c>
      <c r="B143" s="25" t="inlineStr">
        <is>
          <t>Rule Builder &amp; Execution</t>
        </is>
      </c>
      <c r="C143" s="25" t="inlineStr">
        <is>
          <t>§8</t>
        </is>
      </c>
      <c r="D143" s="25" t="inlineStr">
        <is>
          <t>Rule references dynamic field</t>
        </is>
      </c>
      <c r="E143" s="25" t="inlineStr">
        <is>
          <t>Rule on EXP_MONTHLY_CASH</t>
        </is>
      </c>
      <c r="F143" s="25" t="inlineStr">
        <is>
          <t>1. Run</t>
        </is>
      </c>
      <c r="G143" s="25" t="inlineStr">
        <is>
          <t>—</t>
        </is>
      </c>
      <c r="H143" s="25" t="inlineStr">
        <is>
          <t>Field resolved by code/version; evidence shows field</t>
        </is>
      </c>
      <c r="I143" s="25" t="inlineStr">
        <is>
          <t>P2</t>
        </is>
      </c>
      <c r="J143" s="25" t="inlineStr">
        <is>
          <t>Functional</t>
        </is>
      </c>
      <c r="K143" s="25" t="inlineStr">
        <is>
          <t>Integration</t>
        </is>
      </c>
      <c r="L143" s="26" t="inlineStr">
        <is>
          <t>Pass</t>
        </is>
      </c>
      <c r="M143" s="26" t="inlineStr">
        <is>
          <t>Rule on field:EXP_MONTHLY_CASH_45EB resolved by code at evaluation time; match evidence shows condition 'field:EXP_MONTHLY_CASH_45EB gt 10000' with actual 15000.</t>
        </is>
      </c>
      <c r="N143" s="26" t="inlineStr">
        <is>
          <t>Claude (automated test suite)</t>
        </is>
      </c>
      <c r="O143" s="27" t="n">
        <v>46310</v>
      </c>
      <c r="P143" s="26" t="n"/>
      <c r="Q143" s="26" t="inlineStr">
        <is>
          <t>Automated: RuleWorkflowTests.Dynamic_field_in_rule</t>
        </is>
      </c>
    </row>
    <row r="144" ht="22.35" customHeight="1" s="15">
      <c r="A144" s="25" t="inlineStr">
        <is>
          <t>TC-ALR-001</t>
        </is>
      </c>
      <c r="B144" s="25" t="inlineStr">
        <is>
          <t>Alert Deduplication &amp; Lifecycle</t>
        </is>
      </c>
      <c r="C144" s="25" t="inlineStr">
        <is>
          <t>§10</t>
        </is>
      </c>
      <c r="D144" s="25" t="inlineStr">
        <is>
          <t>Alert evidence snapshot immutable</t>
        </is>
      </c>
      <c r="E144" s="25" t="inlineStr">
        <is>
          <t>Alert exists</t>
        </is>
      </c>
      <c r="F144" s="25" t="inlineStr">
        <is>
          <t>1. Edit rule
2. Open alert</t>
        </is>
      </c>
      <c r="G144" s="25" t="inlineStr">
        <is>
          <t>—</t>
        </is>
      </c>
      <c r="H144" s="25" t="inlineStr">
        <is>
          <t>Matched conditions and evidence unchanged</t>
        </is>
      </c>
      <c r="I144" s="25" t="inlineStr">
        <is>
          <t>P1</t>
        </is>
      </c>
      <c r="J144" s="25" t="inlineStr">
        <is>
          <t>Functional</t>
        </is>
      </c>
      <c r="K144" s="25" t="inlineStr">
        <is>
          <t>Integration</t>
        </is>
      </c>
      <c r="L144" s="26" t="inlineStr">
        <is>
          <t>Pass</t>
        </is>
      </c>
      <c r="M144" s="26" t="inlineStr">
        <is>
          <t>Alert retains rule version v1, matched conditions, window 2026-10-13T23:50:15.0721894Z..2026-10-14T23:50:15.0721894Z and transactions after the rule was edited; DB trigger blocks updates to match evidence.</t>
        </is>
      </c>
      <c r="N144" s="26" t="inlineStr">
        <is>
          <t>Claude (automated test suite)</t>
        </is>
      </c>
      <c r="O144" s="27" t="n">
        <v>46310</v>
      </c>
      <c r="P144" s="26" t="n"/>
      <c r="Q144" s="26" t="inlineStr">
        <is>
          <t>Automated: RuleWorkflowTests.Evidence_snapshot_immutable</t>
        </is>
      </c>
    </row>
    <row r="145" ht="22.35" customHeight="1" s="15">
      <c r="A145" s="25" t="inlineStr">
        <is>
          <t>TC-ALR-002</t>
        </is>
      </c>
      <c r="B145" s="25" t="inlineStr">
        <is>
          <t>Alert Deduplication &amp; Lifecycle</t>
        </is>
      </c>
      <c r="C145" s="25" t="inlineStr">
        <is>
          <t>§10</t>
        </is>
      </c>
      <c r="D145" s="25" t="inlineStr">
        <is>
          <t>Dedup across reruns</t>
        </is>
      </c>
      <c r="E145" s="25" t="inlineStr">
        <is>
          <t>Same window and subject</t>
        </is>
      </c>
      <c r="F145" s="25" t="inlineStr">
        <is>
          <t>1. Rerun rule 3 times</t>
        </is>
      </c>
      <c r="G145" s="25" t="inlineStr">
        <is>
          <t>—</t>
        </is>
      </c>
      <c r="H145" s="25" t="inlineStr">
        <is>
          <t>One alert</t>
        </is>
      </c>
      <c r="I145" s="25" t="inlineStr">
        <is>
          <t>P1</t>
        </is>
      </c>
      <c r="J145" s="25" t="inlineStr">
        <is>
          <t>Functional</t>
        </is>
      </c>
      <c r="K145" s="25" t="inlineStr">
        <is>
          <t>Integration</t>
        </is>
      </c>
      <c r="L145" s="26" t="inlineStr">
        <is>
          <t>Pass</t>
        </is>
      </c>
      <c r="M145" s="26" t="inlineStr">
        <is>
          <t>Re-ingested the same transaction and reran the rule 3 times → exactly one alert (deduplicated by rule+version+subject+day key; DB unique index).</t>
        </is>
      </c>
      <c r="N145" s="26" t="inlineStr">
        <is>
          <t>Claude (automated test suite)</t>
        </is>
      </c>
      <c r="O145" s="27" t="n">
        <v>46310</v>
      </c>
      <c r="P145" s="26" t="n"/>
      <c r="Q145" s="26" t="inlineStr">
        <is>
          <t>Automated: RuleWorkflowTests.Reingestion_and_rerun_no_duplicate_alert</t>
        </is>
      </c>
    </row>
    <row r="146" ht="22.35" customHeight="1" s="15">
      <c r="A146" s="25" t="inlineStr">
        <is>
          <t>TC-ALR-003</t>
        </is>
      </c>
      <c r="B146" s="25" t="inlineStr">
        <is>
          <t>Alert Deduplication &amp; Lifecycle</t>
        </is>
      </c>
      <c r="C146" s="25" t="inlineStr">
        <is>
          <t>§10</t>
        </is>
      </c>
      <c r="D146" s="25" t="inlineStr">
        <is>
          <t>New evidence group creates new alert</t>
        </is>
      </c>
      <c r="E146" s="25" t="inlineStr">
        <is>
          <t>Different window</t>
        </is>
      </c>
      <c r="F146" s="25" t="inlineStr">
        <is>
          <t>1. Run next window</t>
        </is>
      </c>
      <c r="G146" s="25" t="inlineStr">
        <is>
          <t>—</t>
        </is>
      </c>
      <c r="H146" s="25" t="inlineStr">
        <is>
          <t>New alert created</t>
        </is>
      </c>
      <c r="I146" s="25" t="inlineStr">
        <is>
          <t>P2</t>
        </is>
      </c>
      <c r="J146" s="25" t="inlineStr">
        <is>
          <t>Functional</t>
        </is>
      </c>
      <c r="K146" s="25" t="inlineStr">
        <is>
          <t>Integration</t>
        </is>
      </c>
      <c r="L146" s="26" t="inlineStr">
        <is>
          <t>Pass</t>
        </is>
      </c>
      <c r="M146" s="26" t="inlineStr">
        <is>
          <t>Matches on two different business days (different evidence group) created two separate alerts.</t>
        </is>
      </c>
      <c r="N146" s="26" t="inlineStr">
        <is>
          <t>Claude (automated test suite)</t>
        </is>
      </c>
      <c r="O146" s="27" t="n">
        <v>46310</v>
      </c>
      <c r="P146" s="26" t="n"/>
      <c r="Q146" s="26" t="inlineStr">
        <is>
          <t>Automated: RuleWorkflowTests.New_window_new_alert</t>
        </is>
      </c>
    </row>
    <row r="147" ht="22.35" customHeight="1" s="15">
      <c r="A147" s="25" t="inlineStr">
        <is>
          <t>TC-ALR-004</t>
        </is>
      </c>
      <c r="B147" s="25" t="inlineStr">
        <is>
          <t>Alert Deduplication &amp; Lifecycle</t>
        </is>
      </c>
      <c r="C147" s="25" t="inlineStr">
        <is>
          <t>§10</t>
        </is>
      </c>
      <c r="D147" s="25" t="inlineStr">
        <is>
          <t>Configurable dedup key</t>
        </is>
      </c>
      <c r="E147" s="25" t="inlineStr">
        <is>
          <t>Key=rule+customer+day</t>
        </is>
      </c>
      <c r="F147" s="25" t="inlineStr">
        <is>
          <t>1. Two matches same day</t>
        </is>
      </c>
      <c r="G147" s="25" t="inlineStr">
        <is>
          <t>—</t>
        </is>
      </c>
      <c r="H147" s="25" t="inlineStr">
        <is>
          <t>One alert with both matches</t>
        </is>
      </c>
      <c r="I147" s="25" t="inlineStr">
        <is>
          <t>P2</t>
        </is>
      </c>
      <c r="J147" s="25" t="inlineStr">
        <is>
          <t>Functional</t>
        </is>
      </c>
      <c r="K147" s="25" t="inlineStr">
        <is>
          <t>Integration</t>
        </is>
      </c>
      <c r="L147" s="26" t="inlineStr">
        <is>
          <t>Pass</t>
        </is>
      </c>
      <c r="M147" s="26" t="inlineStr">
        <is>
          <t>Dedup key rule+customer+day: two matches the same day (and 3 concurrent reruns) → one alert ALR-202610-000018 holding both matches.</t>
        </is>
      </c>
      <c r="N147" s="26" t="inlineStr">
        <is>
          <t>Claude (automated test suite)</t>
        </is>
      </c>
      <c r="O147" s="27" t="n">
        <v>46310</v>
      </c>
      <c r="P147" s="26" t="n"/>
      <c r="Q147" s="26" t="inlineStr">
        <is>
          <t>Automated: RuleWorkflowTests.Configurable_dedup_key</t>
        </is>
      </c>
    </row>
    <row r="148" ht="22.35" customHeight="1" s="15">
      <c r="A148" s="25" t="inlineStr">
        <is>
          <t>TC-ALR-005</t>
        </is>
      </c>
      <c r="B148" s="25" t="inlineStr">
        <is>
          <t>Alert Deduplication &amp; Lifecycle</t>
        </is>
      </c>
      <c r="C148" s="25" t="inlineStr">
        <is>
          <t>§10</t>
        </is>
      </c>
      <c r="D148" s="25" t="inlineStr">
        <is>
          <t>Assign alert</t>
        </is>
      </c>
      <c r="E148" s="25" t="inlineStr">
        <is>
          <t>New alert</t>
        </is>
      </c>
      <c r="F148" s="25" t="inlineStr">
        <is>
          <t>1. Assign to analyst</t>
        </is>
      </c>
      <c r="G148" s="25" t="inlineStr">
        <is>
          <t>—</t>
        </is>
      </c>
      <c r="H148" s="25" t="inlineStr">
        <is>
          <t>Status Assigned; audit record</t>
        </is>
      </c>
      <c r="I148" s="25" t="inlineStr">
        <is>
          <t>P2</t>
        </is>
      </c>
      <c r="J148" s="25" t="inlineStr">
        <is>
          <t>Functional</t>
        </is>
      </c>
      <c r="K148" s="25" t="inlineStr">
        <is>
          <t>E2E</t>
        </is>
      </c>
      <c r="L148" s="26" t="inlineStr">
        <is>
          <t>Pass</t>
        </is>
      </c>
      <c r="M148" s="26" t="inlineStr">
        <is>
          <t>Alert assigned to investigator → status Assigned; ALERT_ASSIGNED audit record.</t>
        </is>
      </c>
      <c r="N148" s="26" t="inlineStr">
        <is>
          <t>Claude (automated test suite)</t>
        </is>
      </c>
      <c r="O148" s="27" t="n">
        <v>46310</v>
      </c>
      <c r="P148" s="26" t="n"/>
      <c r="Q148" s="26" t="inlineStr">
        <is>
          <t>Automated: AlertWorkflowTests.Assign</t>
        </is>
      </c>
    </row>
    <row r="149" ht="22.35" customHeight="1" s="15">
      <c r="A149" s="25" t="inlineStr">
        <is>
          <t>TC-ALR-006</t>
        </is>
      </c>
      <c r="B149" s="25" t="inlineStr">
        <is>
          <t>Alert Deduplication &amp; Lifecycle</t>
        </is>
      </c>
      <c r="C149" s="25" t="inlineStr">
        <is>
          <t>§10</t>
        </is>
      </c>
      <c r="D149" s="25" t="inlineStr">
        <is>
          <t>Disposition requires resolution code and notes</t>
        </is>
      </c>
      <c r="E149" s="25" t="inlineStr">
        <is>
          <t>Under review</t>
        </is>
      </c>
      <c r="F149" s="25" t="inlineStr">
        <is>
          <t>1. Close without notes</t>
        </is>
      </c>
      <c r="G149" s="25" t="inlineStr">
        <is>
          <t>—</t>
        </is>
      </c>
      <c r="H149" s="25" t="inlineStr">
        <is>
          <t>Rejected</t>
        </is>
      </c>
      <c r="I149" s="25" t="inlineStr">
        <is>
          <t>P1</t>
        </is>
      </c>
      <c r="J149" s="25" t="inlineStr">
        <is>
          <t>Negative</t>
        </is>
      </c>
      <c r="K149" s="25" t="inlineStr">
        <is>
          <t>API</t>
        </is>
      </c>
      <c r="L149" s="26" t="inlineStr">
        <is>
          <t>Pass</t>
        </is>
      </c>
      <c r="M149" s="26" t="inlineStr">
        <is>
          <t>Close without notes → 400; invalid resolution code → 400; missing checklist → 400; with code + narrative + checklist → Closed-FalsePositive, narrative retained in history.</t>
        </is>
      </c>
      <c r="N149" s="26" t="inlineStr">
        <is>
          <t>Claude (automated test suite)</t>
        </is>
      </c>
      <c r="O149" s="27" t="n">
        <v>46310</v>
      </c>
      <c r="P149" s="26" t="n"/>
      <c r="Q149" s="26" t="inlineStr">
        <is>
          <t>Automated: AlertWorkflowTests.Disposition_requires_code_notes_checklist</t>
        </is>
      </c>
    </row>
    <row r="150" ht="22.35" customHeight="1" s="15">
      <c r="A150" s="25" t="inlineStr">
        <is>
          <t>TC-ALR-007</t>
        </is>
      </c>
      <c r="B150" s="25" t="inlineStr">
        <is>
          <t>Alert Deduplication &amp; Lifecycle</t>
        </is>
      </c>
      <c r="C150" s="25" t="inlineStr">
        <is>
          <t>§10</t>
        </is>
      </c>
      <c r="D150" s="25" t="inlineStr">
        <is>
          <t>Escalate alert</t>
        </is>
      </c>
      <c r="E150" s="25" t="inlineStr">
        <is>
          <t>Under review</t>
        </is>
      </c>
      <c r="F150" s="25" t="inlineStr">
        <is>
          <t>1. Escalate with reason</t>
        </is>
      </c>
      <c r="G150" s="25" t="inlineStr">
        <is>
          <t>—</t>
        </is>
      </c>
      <c r="H150" s="25" t="inlineStr">
        <is>
          <t>Status Escalated; senior queue</t>
        </is>
      </c>
      <c r="I150" s="25" t="inlineStr">
        <is>
          <t>P2</t>
        </is>
      </c>
      <c r="J150" s="25" t="inlineStr">
        <is>
          <t>Functional</t>
        </is>
      </c>
      <c r="K150" s="25" t="inlineStr">
        <is>
          <t>E2E</t>
        </is>
      </c>
      <c r="L150" s="26" t="inlineStr">
        <is>
          <t>Pass</t>
        </is>
      </c>
      <c r="M150" s="26" t="inlineStr">
        <is>
          <t>Escalation requires reason; status Escalated and alert appears in the senior reviewers' Escalated queue.</t>
        </is>
      </c>
      <c r="N150" s="26" t="inlineStr">
        <is>
          <t>Claude (automated test suite)</t>
        </is>
      </c>
      <c r="O150" s="27" t="n">
        <v>46310</v>
      </c>
      <c r="P150" s="26" t="n"/>
      <c r="Q150" s="26" t="inlineStr">
        <is>
          <t>Automated: AlertWorkflowTests.Escalate</t>
        </is>
      </c>
    </row>
    <row r="151" ht="22.35" customHeight="1" s="15">
      <c r="A151" s="25" t="inlineStr">
        <is>
          <t>TC-ALR-008</t>
        </is>
      </c>
      <c r="B151" s="25" t="inlineStr">
        <is>
          <t>Alert Deduplication &amp; Lifecycle</t>
        </is>
      </c>
      <c r="C151" s="25" t="inlineStr">
        <is>
          <t>§10</t>
        </is>
      </c>
      <c r="D151" s="25" t="inlineStr">
        <is>
          <t>Convert alert to case</t>
        </is>
      </c>
      <c r="E151" s="25" t="inlineStr">
        <is>
          <t>Escalated</t>
        </is>
      </c>
      <c r="F151" s="25" t="inlineStr">
        <is>
          <t>1. Convert</t>
        </is>
      </c>
      <c r="G151" s="25" t="inlineStr">
        <is>
          <t>—</t>
        </is>
      </c>
      <c r="H151" s="25" t="inlineStr">
        <is>
          <t>Case created and linked; alert status Converted to Case</t>
        </is>
      </c>
      <c r="I151" s="25" t="inlineStr">
        <is>
          <t>P1</t>
        </is>
      </c>
      <c r="J151" s="25" t="inlineStr">
        <is>
          <t>Functional</t>
        </is>
      </c>
      <c r="K151" s="25" t="inlineStr">
        <is>
          <t>E2E</t>
        </is>
      </c>
      <c r="L151" s="26" t="inlineStr">
        <is>
          <t>Pass</t>
        </is>
      </c>
      <c r="M151" s="26" t="inlineStr">
        <is>
          <t>Escalated alert converted → case CASE-2026-00007 created and linked; alert status ConvertedToCase with history entry.</t>
        </is>
      </c>
      <c r="N151" s="26" t="inlineStr">
        <is>
          <t>Claude (automated test suite)</t>
        </is>
      </c>
      <c r="O151" s="27" t="n">
        <v>46310</v>
      </c>
      <c r="P151" s="26" t="n"/>
      <c r="Q151" s="26" t="inlineStr">
        <is>
          <t>Automated: AlertWorkflowTests.Convert_to_case</t>
        </is>
      </c>
    </row>
    <row r="152" ht="22.35" customHeight="1" s="15">
      <c r="A152" s="25" t="inlineStr">
        <is>
          <t>TC-ALR-009</t>
        </is>
      </c>
      <c r="B152" s="25" t="inlineStr">
        <is>
          <t>Alert Deduplication &amp; Lifecycle</t>
        </is>
      </c>
      <c r="C152" s="25" t="inlineStr">
        <is>
          <t>§10</t>
        </is>
      </c>
      <c r="D152" s="25" t="inlineStr">
        <is>
          <t>High-severity closure requires approval</t>
        </is>
      </c>
      <c r="E152" s="25" t="inlineStr">
        <is>
          <t>Policy configured</t>
        </is>
      </c>
      <c r="F152" s="25" t="inlineStr">
        <is>
          <t>1. Close critical alert</t>
        </is>
      </c>
      <c r="G152" s="25" t="inlineStr">
        <is>
          <t>—</t>
        </is>
      </c>
      <c r="H152" s="25" t="inlineStr">
        <is>
          <t>Pending approval until second user approves</t>
        </is>
      </c>
      <c r="I152" s="25" t="inlineStr">
        <is>
          <t>P1</t>
        </is>
      </c>
      <c r="J152" s="25" t="inlineStr">
        <is>
          <t>Functional</t>
        </is>
      </c>
      <c r="K152" s="25" t="inlineStr">
        <is>
          <t>E2E</t>
        </is>
      </c>
      <c r="L152" s="26" t="inlineStr">
        <is>
          <t>Pass</t>
        </is>
      </c>
      <c r="M152" s="26" t="inlineStr">
        <is>
          <t>High-severity closure → PendingClosureApproval (policy HIGH_SEVERITY_4EYES); officer cannot approve (403); senior approval → closed, approver recorded.</t>
        </is>
      </c>
      <c r="N152" s="26" t="inlineStr">
        <is>
          <t>Claude (automated test suite)</t>
        </is>
      </c>
      <c r="O152" s="27" t="n">
        <v>46310</v>
      </c>
      <c r="P152" s="26" t="n"/>
      <c r="Q152" s="26" t="inlineStr">
        <is>
          <t>Automated: AlertWorkflowTests.High_severity_closure_approval</t>
        </is>
      </c>
    </row>
    <row r="153" ht="22.35" customHeight="1" s="15">
      <c r="A153" s="25" t="inlineStr">
        <is>
          <t>TC-ALR-010</t>
        </is>
      </c>
      <c r="B153" s="25" t="inlineStr">
        <is>
          <t>Alert Deduplication &amp; Lifecycle</t>
        </is>
      </c>
      <c r="C153" s="25" t="inlineStr">
        <is>
          <t>§10</t>
        </is>
      </c>
      <c r="D153" s="25" t="inlineStr">
        <is>
          <t>Alert does not auto-file report</t>
        </is>
      </c>
      <c r="E153" s="25" t="inlineStr">
        <is>
          <t>Alert closed as suspicious</t>
        </is>
      </c>
      <c r="F153" s="25" t="inlineStr">
        <is>
          <t>—</t>
        </is>
      </c>
      <c r="G153" s="25" t="inlineStr">
        <is>
          <t>—</t>
        </is>
      </c>
      <c r="H153" s="25" t="inlineStr">
        <is>
          <t>No regulatory report created automatically</t>
        </is>
      </c>
      <c r="I153" s="25" t="inlineStr">
        <is>
          <t>P1</t>
        </is>
      </c>
      <c r="J153" s="25" t="inlineStr">
        <is>
          <t>Functional</t>
        </is>
      </c>
      <c r="K153" s="25" t="inlineStr">
        <is>
          <t>Integration</t>
        </is>
      </c>
      <c r="L153" s="26" t="inlineStr">
        <is>
          <t>Pass</t>
        </is>
      </c>
      <c r="M153" s="26" t="inlineStr">
        <is>
          <t>Closing the alert created no regulatory report (reports only from cases, with explicit preparation/approval).</t>
        </is>
      </c>
      <c r="N153" s="26" t="inlineStr">
        <is>
          <t>Claude (automated test suite)</t>
        </is>
      </c>
      <c r="O153" s="27" t="n">
        <v>46310</v>
      </c>
      <c r="P153" s="26" t="n"/>
      <c r="Q153" s="26" t="inlineStr">
        <is>
          <t>Automated: AlertWorkflowTests.No_auto_report</t>
        </is>
      </c>
    </row>
    <row r="154" ht="22.35" customHeight="1" s="15">
      <c r="A154" s="25" t="inlineStr">
        <is>
          <t>TC-ALR-011</t>
        </is>
      </c>
      <c r="B154" s="25" t="inlineStr">
        <is>
          <t>Alert Deduplication &amp; Lifecycle</t>
        </is>
      </c>
      <c r="C154" s="25" t="inlineStr">
        <is>
          <t>§10</t>
        </is>
      </c>
      <c r="D154" s="25" t="inlineStr">
        <is>
          <t>Concurrent disposition conflict</t>
        </is>
      </c>
      <c r="E154" s="25" t="inlineStr">
        <is>
          <t>Two analysts</t>
        </is>
      </c>
      <c r="F154" s="25" t="inlineStr">
        <is>
          <t>1. Both close same alert</t>
        </is>
      </c>
      <c r="G154" s="25" t="inlineStr">
        <is>
          <t>—</t>
        </is>
      </c>
      <c r="H154" s="25" t="inlineStr">
        <is>
          <t>Second gets 409</t>
        </is>
      </c>
      <c r="I154" s="25" t="inlineStr">
        <is>
          <t>P2</t>
        </is>
      </c>
      <c r="J154" s="25" t="inlineStr">
        <is>
          <t>Functional</t>
        </is>
      </c>
      <c r="K154" s="25" t="inlineStr">
        <is>
          <t>API</t>
        </is>
      </c>
      <c r="L154" s="26" t="inlineStr">
        <is>
          <t>Pass</t>
        </is>
      </c>
      <c r="M154" s="26" t="inlineStr">
        <is>
          <t>First analyst closed the alert; second analyst with the same (stale) row version → 409 Conflict.</t>
        </is>
      </c>
      <c r="N154" s="26" t="inlineStr">
        <is>
          <t>Claude (automated test suite)</t>
        </is>
      </c>
      <c r="O154" s="27" t="n">
        <v>46310</v>
      </c>
      <c r="P154" s="26" t="n"/>
      <c r="Q154" s="26" t="inlineStr">
        <is>
          <t>Automated: AlertWorkflowTests.Concurrent_disposition_conflict</t>
        </is>
      </c>
    </row>
    <row r="155" ht="22.35" customHeight="1" s="15">
      <c r="A155" s="25" t="inlineStr">
        <is>
          <t>TC-ALR-012</t>
        </is>
      </c>
      <c r="B155" s="25" t="inlineStr">
        <is>
          <t>Alert Deduplication &amp; Lifecycle</t>
        </is>
      </c>
      <c r="C155" s="25" t="inlineStr">
        <is>
          <t>§10</t>
        </is>
      </c>
      <c r="D155" s="25" t="inlineStr">
        <is>
          <t>Alert aging and SLA</t>
        </is>
      </c>
      <c r="E155" s="25" t="inlineStr">
        <is>
          <t>SLA 3 working days</t>
        </is>
      </c>
      <c r="F155" s="25" t="inlineStr">
        <is>
          <t>1. Leave alert open</t>
        </is>
      </c>
      <c r="G155" s="25" t="inlineStr">
        <is>
          <t>—</t>
        </is>
      </c>
      <c r="H155" s="25" t="inlineStr">
        <is>
          <t>Overdue flag and report entry</t>
        </is>
      </c>
      <c r="I155" s="25" t="inlineStr">
        <is>
          <t>P2</t>
        </is>
      </c>
      <c r="J155" s="25" t="inlineStr">
        <is>
          <t>Functional</t>
        </is>
      </c>
      <c r="K155" s="25" t="inlineStr">
        <is>
          <t>Integration</t>
        </is>
      </c>
      <c r="L155" s="26" t="inlineStr">
        <is>
          <t>Pass</t>
        </is>
      </c>
      <c r="M155" s="26" t="inlineStr">
        <is>
          <t>Medium alert due 2026-10-22 (5 working days, Fri/Sat weekends and holidays excluded); after passing due date flagged overdue and listed by overdue filter and in alerts-summary aging report.</t>
        </is>
      </c>
      <c r="N155" s="26" t="inlineStr">
        <is>
          <t>Claude (automated test suite)</t>
        </is>
      </c>
      <c r="O155" s="27" t="n">
        <v>46310</v>
      </c>
      <c r="P155" s="26" t="n"/>
      <c r="Q155" s="26" t="inlineStr">
        <is>
          <t>Automated: AlertWorkflowTests.Sla_overdue</t>
        </is>
      </c>
    </row>
    <row r="156" ht="15" customHeight="1" s="15">
      <c r="A156" s="25" t="inlineStr">
        <is>
          <t>TC-CAS-001</t>
        </is>
      </c>
      <c r="B156" s="25" t="inlineStr">
        <is>
          <t>Case Management</t>
        </is>
      </c>
      <c r="C156" s="25" t="inlineStr">
        <is>
          <t>§10</t>
        </is>
      </c>
      <c r="D156" s="25" t="inlineStr">
        <is>
          <t>Link multiple alerts to case</t>
        </is>
      </c>
      <c r="E156" s="25" t="inlineStr">
        <is>
          <t>3 alerts</t>
        </is>
      </c>
      <c r="F156" s="25" t="inlineStr">
        <is>
          <t>1. Link to one case</t>
        </is>
      </c>
      <c r="G156" s="25" t="inlineStr">
        <is>
          <t>—</t>
        </is>
      </c>
      <c r="H156" s="25" t="inlineStr">
        <is>
          <t>All linked; alerts show case reference</t>
        </is>
      </c>
      <c r="I156" s="25" t="inlineStr">
        <is>
          <t>P1</t>
        </is>
      </c>
      <c r="J156" s="25" t="inlineStr">
        <is>
          <t>Functional</t>
        </is>
      </c>
      <c r="K156" s="25" t="inlineStr">
        <is>
          <t>E2E</t>
        </is>
      </c>
      <c r="L156" s="26" t="inlineStr">
        <is>
          <t>Pass</t>
        </is>
      </c>
      <c r="M156" s="26" t="inlineStr">
        <is>
          <t>3 alerts linked; each alert shows case reference CASE-2026-00014; duplicate link request → 200 with no duplicate relationship.</t>
        </is>
      </c>
      <c r="N156" s="26" t="inlineStr">
        <is>
          <t>Claude (automated test suite)</t>
        </is>
      </c>
      <c r="O156" s="27" t="n">
        <v>46310</v>
      </c>
      <c r="P156" s="26" t="n"/>
      <c r="Q156" s="26" t="inlineStr">
        <is>
          <t>Automated: CaseWorkflowTests.Link_multiple_alerts</t>
        </is>
      </c>
    </row>
    <row r="157" ht="15" customHeight="1" s="15">
      <c r="A157" s="25" t="inlineStr">
        <is>
          <t>TC-CAS-002</t>
        </is>
      </c>
      <c r="B157" s="25" t="inlineStr">
        <is>
          <t>Case Management</t>
        </is>
      </c>
      <c r="C157" s="25" t="inlineStr">
        <is>
          <t>§10</t>
        </is>
      </c>
      <c r="D157" s="25" t="inlineStr">
        <is>
          <t>Link transactions and customers</t>
        </is>
      </c>
      <c r="E157" s="25" t="inlineStr">
        <is>
          <t>Case open</t>
        </is>
      </c>
      <c r="F157" s="25" t="inlineStr">
        <is>
          <t>1. Link 5 transactions, 2 customers</t>
        </is>
      </c>
      <c r="G157" s="25" t="inlineStr">
        <is>
          <t>—</t>
        </is>
      </c>
      <c r="H157" s="25" t="inlineStr">
        <is>
          <t>Links stored; visible in case tabs</t>
        </is>
      </c>
      <c r="I157" s="25" t="inlineStr">
        <is>
          <t>P1</t>
        </is>
      </c>
      <c r="J157" s="25" t="inlineStr">
        <is>
          <t>Functional</t>
        </is>
      </c>
      <c r="K157" s="25" t="inlineStr">
        <is>
          <t>E2E</t>
        </is>
      </c>
      <c r="L157" s="26" t="inlineStr">
        <is>
          <t>Pass</t>
        </is>
      </c>
      <c r="M157" s="26" t="inlineStr">
        <is>
          <t>5 transactions and 2 customers (Subject, Counterparty) linked and returned in the case detail tabs.</t>
        </is>
      </c>
      <c r="N157" s="26" t="inlineStr">
        <is>
          <t>Claude (automated test suite)</t>
        </is>
      </c>
      <c r="O157" s="27" t="n">
        <v>46310</v>
      </c>
      <c r="P157" s="26" t="n"/>
      <c r="Q157" s="26" t="inlineStr">
        <is>
          <t>Automated: CaseWorkflowTests.Link_transactions_customers</t>
        </is>
      </c>
    </row>
    <row r="158" ht="15" customHeight="1" s="15">
      <c r="A158" s="25" t="inlineStr">
        <is>
          <t>TC-CAS-003</t>
        </is>
      </c>
      <c r="B158" s="25" t="inlineStr">
        <is>
          <t>Case Management</t>
        </is>
      </c>
      <c r="C158" s="25" t="inlineStr">
        <is>
          <t>§10</t>
        </is>
      </c>
      <c r="D158" s="25" t="inlineStr">
        <is>
          <t>Case and alert closure separate</t>
        </is>
      </c>
      <c r="E158" s="25" t="inlineStr">
        <is>
          <t>Case with linked alerts</t>
        </is>
      </c>
      <c r="F158" s="25" t="inlineStr">
        <is>
          <t>1. Close case</t>
        </is>
      </c>
      <c r="G158" s="25" t="inlineStr">
        <is>
          <t>—</t>
        </is>
      </c>
      <c r="H158" s="25" t="inlineStr">
        <is>
          <t>Alerts keep their own status unless explicitly closed</t>
        </is>
      </c>
      <c r="I158" s="25" t="inlineStr">
        <is>
          <t>P2</t>
        </is>
      </c>
      <c r="J158" s="25" t="inlineStr">
        <is>
          <t>Functional</t>
        </is>
      </c>
      <c r="K158" s="25" t="inlineStr">
        <is>
          <t>Integration</t>
        </is>
      </c>
      <c r="L158" s="26" t="inlineStr">
        <is>
          <t>Pass</t>
        </is>
      </c>
      <c r="M158" s="26" t="inlineStr">
        <is>
          <t>Invalid Open→PendingApproval → 409 listing valid next states (Invalid case transition Open -&gt; PendingApproval. Valid next states: Closed, UnderInvestigation.); close without findings → 400; closed with findings+decision; linked alert kept its own status (New); history: →Open by officer, Open→UnderInvestigation by officer, UnderInvestigation→Closed by officer</t>
        </is>
      </c>
      <c r="N158" s="26" t="inlineStr">
        <is>
          <t>Claude (automated test suite)</t>
        </is>
      </c>
      <c r="O158" s="27" t="n">
        <v>46310</v>
      </c>
      <c r="P158" s="26" t="n"/>
      <c r="Q158" s="26" t="inlineStr">
        <is>
          <t>Automated: CaseWorkflowTests.Closure_rules_and_history</t>
        </is>
      </c>
    </row>
    <row r="159" ht="15" customHeight="1" s="15">
      <c r="A159" s="25" t="inlineStr">
        <is>
          <t>TC-CAS-004</t>
        </is>
      </c>
      <c r="B159" s="25" t="inlineStr">
        <is>
          <t>Case Management</t>
        </is>
      </c>
      <c r="C159" s="25" t="inlineStr">
        <is>
          <t>§10</t>
        </is>
      </c>
      <c r="D159" s="25" t="inlineStr">
        <is>
          <t>Case closure requires findings and decision</t>
        </is>
      </c>
      <c r="E159" s="25" t="inlineStr">
        <is>
          <t>Case open</t>
        </is>
      </c>
      <c r="F159" s="25" t="inlineStr">
        <is>
          <t>1. Close without findings</t>
        </is>
      </c>
      <c r="G159" s="25" t="inlineStr">
        <is>
          <t>—</t>
        </is>
      </c>
      <c r="H159" s="25" t="inlineStr">
        <is>
          <t>Rejected</t>
        </is>
      </c>
      <c r="I159" s="25" t="inlineStr">
        <is>
          <t>P1</t>
        </is>
      </c>
      <c r="J159" s="25" t="inlineStr">
        <is>
          <t>Negative</t>
        </is>
      </c>
      <c r="K159" s="25" t="inlineStr">
        <is>
          <t>API</t>
        </is>
      </c>
      <c r="L159" s="26" t="inlineStr">
        <is>
          <t>Pass</t>
        </is>
      </c>
      <c r="M159" s="26" t="inlineStr">
        <is>
          <t>Invalid Open→PendingApproval → 409 listing valid next states (Invalid case transition Open -&gt; PendingApproval. Valid next states: Closed, UnderInvestigation.); close without findings → 400; closed with findings+decision; linked alert kept its own status (New); history: →Open by officer, Open→UnderInvestigation by officer, UnderInvestigation→Closed by officer</t>
        </is>
      </c>
      <c r="N159" s="26" t="inlineStr">
        <is>
          <t>Claude (automated test suite)</t>
        </is>
      </c>
      <c r="O159" s="27" t="n">
        <v>46310</v>
      </c>
      <c r="P159" s="26" t="n"/>
      <c r="Q159" s="26" t="inlineStr">
        <is>
          <t>Automated: CaseWorkflowTests.Closure_rules_and_history</t>
        </is>
      </c>
    </row>
    <row r="160" ht="15" customHeight="1" s="15">
      <c r="A160" s="25" t="inlineStr">
        <is>
          <t>TC-CAS-005</t>
        </is>
      </c>
      <c r="B160" s="25" t="inlineStr">
        <is>
          <t>Case Management</t>
        </is>
      </c>
      <c r="C160" s="25" t="inlineStr">
        <is>
          <t>§10</t>
        </is>
      </c>
      <c r="D160" s="25" t="inlineStr">
        <is>
          <t>Case notes immutable after save</t>
        </is>
      </c>
      <c r="E160" s="25" t="inlineStr">
        <is>
          <t>Note saved</t>
        </is>
      </c>
      <c r="F160" s="25" t="inlineStr">
        <is>
          <t>1. Edit note via API</t>
        </is>
      </c>
      <c r="G160" s="25" t="inlineStr">
        <is>
          <t>—</t>
        </is>
      </c>
      <c r="H160" s="25" t="inlineStr">
        <is>
          <t>Edit refused or creates new version with history</t>
        </is>
      </c>
      <c r="I160" s="25" t="inlineStr">
        <is>
          <t>P2</t>
        </is>
      </c>
      <c r="J160" s="25" t="inlineStr">
        <is>
          <t>Security</t>
        </is>
      </c>
      <c r="K160" s="25" t="inlineStr">
        <is>
          <t>API</t>
        </is>
      </c>
      <c r="L160" s="26" t="inlineStr">
        <is>
          <t>Pass</t>
        </is>
      </c>
      <c r="M160" s="26" t="inlineStr">
        <is>
          <t>Note author/time stored (2026-10-15T00:00:24.7445449Z); PUT edit → 405; correction saved as new note superseding #1; DB trigger blocks direct updates.</t>
        </is>
      </c>
      <c r="N160" s="26" t="inlineStr">
        <is>
          <t>Claude (automated test suite)</t>
        </is>
      </c>
      <c r="O160" s="27" t="n">
        <v>46310</v>
      </c>
      <c r="P160" s="26" t="n"/>
      <c r="Q160" s="26" t="inlineStr">
        <is>
          <t>Automated: CaseWorkflowTests.Notes_immutable</t>
        </is>
      </c>
    </row>
    <row r="161" ht="15" customHeight="1" s="15">
      <c r="A161" s="25" t="inlineStr">
        <is>
          <t>TC-CAS-006</t>
        </is>
      </c>
      <c r="B161" s="25" t="inlineStr">
        <is>
          <t>Case Management</t>
        </is>
      </c>
      <c r="C161" s="25" t="inlineStr">
        <is>
          <t>§10</t>
        </is>
      </c>
      <c r="D161" s="25" t="inlineStr">
        <is>
          <t>Evidence upload validation</t>
        </is>
      </c>
      <c r="E161" s="25" t="inlineStr">
        <is>
          <t>—</t>
        </is>
      </c>
      <c r="F161" s="25" t="inlineStr">
        <is>
          <t>1. Upload .exe</t>
        </is>
      </c>
      <c r="G161" s="25" t="inlineStr">
        <is>
          <t>—</t>
        </is>
      </c>
      <c r="H161" s="25" t="inlineStr">
        <is>
          <t>Rejected by type/size rules</t>
        </is>
      </c>
      <c r="I161" s="25" t="inlineStr">
        <is>
          <t>P1</t>
        </is>
      </c>
      <c r="J161" s="25" t="inlineStr">
        <is>
          <t>Security</t>
        </is>
      </c>
      <c r="K161" s="25" t="inlineStr">
        <is>
          <t>API</t>
        </is>
      </c>
      <c r="L161" s="26" t="inlineStr">
        <is>
          <t>Pass</t>
        </is>
      </c>
      <c r="M161" s="26" t="inlineStr">
        <is>
          <t>.exe → 400; spoofed PDF → 400 (magic bytes); EICAR → 400 (malware scan); valid PDF stored outside web root (storage root, SHA-256 7CFBF95B7238…); unauthenticated download → 401; no static path; traversal attempt → 404; authorized download via API OK.</t>
        </is>
      </c>
      <c r="N161" s="26" t="inlineStr">
        <is>
          <t>Claude (automated test suite)</t>
        </is>
      </c>
      <c r="O161" s="27" t="n">
        <v>46310</v>
      </c>
      <c r="P161" s="26" t="n"/>
      <c r="Q161" s="26" t="inlineStr">
        <is>
          <t>Automated: CaseWorkflowTests.Evidence_upload_rules</t>
        </is>
      </c>
    </row>
    <row r="162" ht="22.35" customHeight="1" s="15">
      <c r="A162" s="25" t="inlineStr">
        <is>
          <t>TC-CAS-007</t>
        </is>
      </c>
      <c r="B162" s="25" t="inlineStr">
        <is>
          <t>Case Management</t>
        </is>
      </c>
      <c r="C162" s="25" t="inlineStr">
        <is>
          <t>§10</t>
        </is>
      </c>
      <c r="D162" s="25" t="inlineStr">
        <is>
          <t>Evidence stored outside web root</t>
        </is>
      </c>
      <c r="E162" s="25" t="inlineStr">
        <is>
          <t>—</t>
        </is>
      </c>
      <c r="F162" s="25" t="inlineStr">
        <is>
          <t>1. Upload PDF
2. request direct path</t>
        </is>
      </c>
      <c r="G162" s="25" t="inlineStr">
        <is>
          <t>—</t>
        </is>
      </c>
      <c r="H162" s="25" t="inlineStr">
        <is>
          <t>Not publicly accessible; download only via authorized API</t>
        </is>
      </c>
      <c r="I162" s="25" t="inlineStr">
        <is>
          <t>P1</t>
        </is>
      </c>
      <c r="J162" s="25" t="inlineStr">
        <is>
          <t>Security</t>
        </is>
      </c>
      <c r="K162" s="25" t="inlineStr">
        <is>
          <t>API</t>
        </is>
      </c>
      <c r="L162" s="26" t="inlineStr">
        <is>
          <t>Pass</t>
        </is>
      </c>
      <c r="M162" s="26" t="inlineStr">
        <is>
          <t>.exe → 400; spoofed PDF → 400 (magic bytes); EICAR → 400 (malware scan); valid PDF stored outside web root (storage root, SHA-256 7CFBF95B7238…); unauthenticated download → 401; no static path; traversal attempt → 404; authorized download via API OK.</t>
        </is>
      </c>
      <c r="N162" s="26" t="inlineStr">
        <is>
          <t>Claude (automated test suite)</t>
        </is>
      </c>
      <c r="O162" s="27" t="n">
        <v>46310</v>
      </c>
      <c r="P162" s="26" t="n"/>
      <c r="Q162" s="26" t="inlineStr">
        <is>
          <t>Automated: CaseWorkflowTests.Evidence_upload_rules</t>
        </is>
      </c>
    </row>
    <row r="163" ht="15" customHeight="1" s="15">
      <c r="A163" s="25" t="inlineStr">
        <is>
          <t>TC-CAS-008</t>
        </is>
      </c>
      <c r="B163" s="25" t="inlineStr">
        <is>
          <t>Case Management</t>
        </is>
      </c>
      <c r="C163" s="25" t="inlineStr">
        <is>
          <t>§10</t>
        </is>
      </c>
      <c r="D163" s="25" t="inlineStr">
        <is>
          <t>Case status history</t>
        </is>
      </c>
      <c r="E163" s="25" t="inlineStr">
        <is>
          <t>—</t>
        </is>
      </c>
      <c r="F163" s="25" t="inlineStr">
        <is>
          <t>1. Transition statuses</t>
        </is>
      </c>
      <c r="G163" s="25" t="inlineStr">
        <is>
          <t>—</t>
        </is>
      </c>
      <c r="H163" s="25" t="inlineStr">
        <is>
          <t>Full status history with actor and time</t>
        </is>
      </c>
      <c r="I163" s="25" t="inlineStr">
        <is>
          <t>P2</t>
        </is>
      </c>
      <c r="J163" s="25" t="inlineStr">
        <is>
          <t>Data</t>
        </is>
      </c>
      <c r="K163" s="25" t="inlineStr">
        <is>
          <t>Integration</t>
        </is>
      </c>
      <c r="L163" s="26" t="inlineStr">
        <is>
          <t>Pass</t>
        </is>
      </c>
      <c r="M163" s="26" t="inlineStr">
        <is>
          <t>Invalid Open→PendingApproval → 409 listing valid next states (Invalid case transition Open -&gt; PendingApproval. Valid next states: Closed, UnderInvestigation.); close without findings → 400; closed with findings+decision; linked alert kept its own status (New); history: →Open by officer, Open→UnderInvestigation by officer, UnderInvestigation→Closed by officer</t>
        </is>
      </c>
      <c r="N163" s="26" t="inlineStr">
        <is>
          <t>Claude (automated test suite)</t>
        </is>
      </c>
      <c r="O163" s="27" t="n">
        <v>46310</v>
      </c>
      <c r="P163" s="26" t="n"/>
      <c r="Q163" s="26" t="inlineStr">
        <is>
          <t>Automated: CaseWorkflowTests.Closure_rules_and_history</t>
        </is>
      </c>
    </row>
    <row r="164" ht="15" customHeight="1" s="15">
      <c r="A164" s="25" t="inlineStr">
        <is>
          <t>TC-CAS-009</t>
        </is>
      </c>
      <c r="B164" s="25" t="inlineStr">
        <is>
          <t>Case Management</t>
        </is>
      </c>
      <c r="C164" s="25" t="inlineStr">
        <is>
          <t>§10</t>
        </is>
      </c>
      <c r="D164" s="25" t="inlineStr">
        <is>
          <t>Case approval for high outcome</t>
        </is>
      </c>
      <c r="E164" s="25" t="inlineStr">
        <is>
          <t>Recommended action = report</t>
        </is>
      </c>
      <c r="F164" s="25" t="inlineStr">
        <is>
          <t>1. Submit for approval</t>
        </is>
      </c>
      <c r="G164" s="25" t="inlineStr">
        <is>
          <t>—</t>
        </is>
      </c>
      <c r="H164" s="25" t="inlineStr">
        <is>
          <t>MLRO approval required</t>
        </is>
      </c>
      <c r="I164" s="25" t="inlineStr">
        <is>
          <t>P1</t>
        </is>
      </c>
      <c r="J164" s="25" t="inlineStr">
        <is>
          <t>Functional</t>
        </is>
      </c>
      <c r="K164" s="25" t="inlineStr">
        <is>
          <t>E2E</t>
        </is>
      </c>
      <c r="L164" s="26" t="inlineStr">
        <is>
          <t>Pass</t>
        </is>
      </c>
      <c r="M164" s="26" t="inlineStr">
        <is>
          <t>Recommended action FileReport: closure blocked until approval; manager (no STR approval) → 403; MLRO approval recorded.</t>
        </is>
      </c>
      <c r="N164" s="26" t="inlineStr">
        <is>
          <t>Claude (automated test suite)</t>
        </is>
      </c>
      <c r="O164" s="27" t="n">
        <v>46310</v>
      </c>
      <c r="P164" s="26" t="n"/>
      <c r="Q164" s="26" t="inlineStr">
        <is>
          <t>Automated: CaseWorkflowTests.High_outcome_requires_mlro</t>
        </is>
      </c>
    </row>
    <row r="165" ht="15" customHeight="1" s="15">
      <c r="A165" s="25" t="inlineStr">
        <is>
          <t>TC-CAS-010</t>
        </is>
      </c>
      <c r="B165" s="25" t="inlineStr">
        <is>
          <t>Case Management</t>
        </is>
      </c>
      <c r="C165" s="25" t="inlineStr">
        <is>
          <t>§10</t>
        </is>
      </c>
      <c r="D165" s="25" t="inlineStr">
        <is>
          <t>Case tasks and due dates</t>
        </is>
      </c>
      <c r="E165" s="25" t="inlineStr">
        <is>
          <t>—</t>
        </is>
      </c>
      <c r="F165" s="25" t="inlineStr">
        <is>
          <t>1. Add task with due date</t>
        </is>
      </c>
      <c r="G165" s="25" t="inlineStr">
        <is>
          <t>—</t>
        </is>
      </c>
      <c r="H165" s="25" t="inlineStr">
        <is>
          <t>Task appears in assignee queue; overdue tracked</t>
        </is>
      </c>
      <c r="I165" s="25" t="inlineStr">
        <is>
          <t>P3</t>
        </is>
      </c>
      <c r="J165" s="25" t="inlineStr">
        <is>
          <t>Functional</t>
        </is>
      </c>
      <c r="K165" s="25" t="inlineStr">
        <is>
          <t>E2E</t>
        </is>
      </c>
      <c r="L165" s="26" t="inlineStr">
        <is>
          <t>Pass</t>
        </is>
      </c>
      <c r="M165" s="26" t="inlineStr">
        <is>
          <t>Task assigned to investigator appears in their queue with due date; past due flagged overdue.</t>
        </is>
      </c>
      <c r="N165" s="26" t="inlineStr">
        <is>
          <t>Claude (automated test suite)</t>
        </is>
      </c>
      <c r="O165" s="27" t="n">
        <v>46310</v>
      </c>
      <c r="P165" s="26" t="n"/>
      <c r="Q165" s="26" t="inlineStr">
        <is>
          <t>Automated: CaseWorkflowTests.Tasks_due_dates</t>
        </is>
      </c>
    </row>
    <row r="166" ht="22.35" customHeight="1" s="15">
      <c r="A166" s="25" t="inlineStr">
        <is>
          <t>TC-SCR-001</t>
        </is>
      </c>
      <c r="B166" s="25" t="inlineStr">
        <is>
          <t>Screening &amp; List Management</t>
        </is>
      </c>
      <c r="C166" s="25" t="inlineStr">
        <is>
          <t>§9, §21</t>
        </is>
      </c>
      <c r="D166" s="25" t="inlineStr">
        <is>
          <t>Potential match recorded with details</t>
        </is>
      </c>
      <c r="E166" s="25" t="inlineStr">
        <is>
          <t>Provider returns match</t>
        </is>
      </c>
      <c r="F166" s="25" t="inlineStr">
        <is>
          <t>1. Screen customer</t>
        </is>
      </c>
      <c r="G166" s="25" t="inlineStr">
        <is>
          <t>—</t>
        </is>
      </c>
      <c r="H166" s="25" t="inlineStr">
        <is>
          <t>Provider, list entry ID, score, method, attributes, list version stored</t>
        </is>
      </c>
      <c r="I166" s="25" t="inlineStr">
        <is>
          <t>P1</t>
        </is>
      </c>
      <c r="J166" s="25" t="inlineStr">
        <is>
          <t>Functional</t>
        </is>
      </c>
      <c r="K166" s="25" t="inlineStr">
        <is>
          <t>Integration</t>
        </is>
      </c>
      <c r="L166" s="26" t="inlineStr">
        <is>
          <t>Pass</t>
        </is>
      </c>
      <c r="M166" s="26" t="inlineStr">
        <is>
          <t>Result: provider INTERNAL-LISTS, entry E-013f23d4, score 1.0000, method exact-normalized, version V-839985218d, attributes {"name":{"subject":"Salinub Zumarumo Lunifu","list":"Salinub Zumarumo Lunifu","score":1},"dateOfBirth":{"match":true},"nationality":{"match":true}}; customer screening status PotentialMatch shown separately from risk level .</t>
        </is>
      </c>
      <c r="N166" s="26" t="inlineStr">
        <is>
          <t>Claude (automated test suite)</t>
        </is>
      </c>
      <c r="O166" s="27" t="n">
        <v>46310</v>
      </c>
      <c r="P166" s="26" t="n"/>
      <c r="Q166" s="26" t="inlineStr">
        <is>
          <t>Automated: ScreeningTests.Potential_match_details</t>
        </is>
      </c>
    </row>
    <row r="167" ht="32.8" customHeight="1" s="15">
      <c r="A167" s="25" t="inlineStr">
        <is>
          <t>TC-SCR-002</t>
        </is>
      </c>
      <c r="B167" s="25" t="inlineStr">
        <is>
          <t>Screening &amp; List Management</t>
        </is>
      </c>
      <c r="C167" s="25" t="inlineStr">
        <is>
          <t>§9, §21</t>
        </is>
      </c>
      <c r="D167" s="25" t="inlineStr">
        <is>
          <t>Screening states supported</t>
        </is>
      </c>
      <c r="E167" s="25" t="inlineStr">
        <is>
          <t>—</t>
        </is>
      </c>
      <c r="F167" s="25" t="inlineStr">
        <is>
          <t>1. Move result through Potential→Under Review→Confirmed/False Positive/Unable to Determine/Escalated</t>
        </is>
      </c>
      <c r="G167" s="25" t="inlineStr">
        <is>
          <t>—</t>
        </is>
      </c>
      <c r="H167" s="25" t="inlineStr">
        <is>
          <t>Each transition valid and audited</t>
        </is>
      </c>
      <c r="I167" s="25" t="inlineStr">
        <is>
          <t>P1</t>
        </is>
      </c>
      <c r="J167" s="25" t="inlineStr">
        <is>
          <t>Functional</t>
        </is>
      </c>
      <c r="K167" s="25" t="inlineStr">
        <is>
          <t>E2E</t>
        </is>
      </c>
      <c r="L167" s="26" t="inlineStr">
        <is>
          <t>Pass</t>
        </is>
      </c>
      <c r="M167" s="26" t="inlineStr">
        <is>
          <t>Potential→UnderReview→Escalated→UnableToDetermine→FalsePositive each audited (4 history rows: reviewer, time, notes, list version V-4fdd2277d3); FP without rationale → 400; invalid FalsePositive→Escalated → 409.</t>
        </is>
      </c>
      <c r="N167" s="26" t="inlineStr">
        <is>
          <t>Claude (automated test suite)</t>
        </is>
      </c>
      <c r="O167" s="27" t="n">
        <v>46310</v>
      </c>
      <c r="P167" s="26" t="n"/>
      <c r="Q167" s="26" t="inlineStr">
        <is>
          <t>Automated: ScreeningTests.State_transitions_audited</t>
        </is>
      </c>
    </row>
    <row r="168" ht="22.35" customHeight="1" s="15">
      <c r="A168" s="25" t="inlineStr">
        <is>
          <t>TC-SCR-003</t>
        </is>
      </c>
      <c r="B168" s="25" t="inlineStr">
        <is>
          <t>Screening &amp; List Management</t>
        </is>
      </c>
      <c r="C168" s="25" t="inlineStr">
        <is>
          <t>§9, §21</t>
        </is>
      </c>
      <c r="D168" s="25" t="inlineStr">
        <is>
          <t>Provider timeout</t>
        </is>
      </c>
      <c r="E168" s="25" t="inlineStr">
        <is>
          <t>Provider delay &gt; timeout</t>
        </is>
      </c>
      <c r="F168" s="25" t="inlineStr">
        <is>
          <t>1. Screen</t>
        </is>
      </c>
      <c r="G168" s="25" t="inlineStr">
        <is>
          <t>—</t>
        </is>
      </c>
      <c r="H168" s="25" t="inlineStr">
        <is>
          <t>State Pending/Unavailable; retry item created; never Clear</t>
        </is>
      </c>
      <c r="I168" s="25" t="inlineStr">
        <is>
          <t>P1</t>
        </is>
      </c>
      <c r="J168" s="25" t="inlineStr">
        <is>
          <t>Negative</t>
        </is>
      </c>
      <c r="K168" s="25" t="inlineStr">
        <is>
          <t>Integration</t>
        </is>
      </c>
      <c r="L168" s="26" t="inlineStr">
        <is>
          <t>Pass</t>
        </is>
      </c>
      <c r="M168" s="26" t="inlineStr">
        <is>
          <t>Provider unavailable → screening status Unavailable, request status Unavailable with retry scheduled at 2026-10-14T23:59:59.3934749Z; decision PendingInformation (reason SCREENING_UNAVAILABLE); never Clear. | Timeout → Unavailable (never Clear), manual retry audited and completed keeping failure history 'attempt 1 at 2026-10-15T00:04:13.1937986Z: Timeout: Provider did not respond within 3000 ms'; malformed response → Unavailable; outage with backoff (30s·2^n) retried by job → completed on attempt 2.</t>
        </is>
      </c>
      <c r="N168" s="26" t="inlineStr">
        <is>
          <t>Claude (automated test suite)</t>
        </is>
      </c>
      <c r="O168" s="27" t="n">
        <v>46310</v>
      </c>
      <c r="P168" s="26" t="n"/>
      <c r="Q168" s="26" t="inlineStr">
        <is>
          <t>Automated: CddTests.Pending_screening_blocks_acceptance; ScreeningTests.Provider_failures_never_clear</t>
        </is>
      </c>
    </row>
    <row r="169" ht="22.35" customHeight="1" s="15">
      <c r="A169" s="25" t="inlineStr">
        <is>
          <t>TC-SCR-004</t>
        </is>
      </c>
      <c r="B169" s="25" t="inlineStr">
        <is>
          <t>Screening &amp; List Management</t>
        </is>
      </c>
      <c r="C169" s="25" t="inlineStr">
        <is>
          <t>§9, §21</t>
        </is>
      </c>
      <c r="D169" s="25" t="inlineStr">
        <is>
          <t>Retry with backoff then success</t>
        </is>
      </c>
      <c r="E169" s="25" t="inlineStr">
        <is>
          <t>Provider recovers</t>
        </is>
      </c>
      <c r="F169" s="25" t="inlineStr">
        <is>
          <t>1. Wait for retry</t>
        </is>
      </c>
      <c r="G169" s="25" t="inlineStr">
        <is>
          <t>—</t>
        </is>
      </c>
      <c r="H169" s="25" t="inlineStr">
        <is>
          <t>Screened once successfully; reason of earlier failure kept</t>
        </is>
      </c>
      <c r="I169" s="25" t="inlineStr">
        <is>
          <t>P2</t>
        </is>
      </c>
      <c r="J169" s="25" t="inlineStr">
        <is>
          <t>Functional</t>
        </is>
      </c>
      <c r="K169" s="25" t="inlineStr">
        <is>
          <t>Integration</t>
        </is>
      </c>
      <c r="L169" s="26" t="inlineStr">
        <is>
          <t>Pass</t>
        </is>
      </c>
      <c r="M169" s="26" t="inlineStr">
        <is>
          <t>Timeout → Unavailable (never Clear), manual retry audited and completed keeping failure history 'attempt 1 at 2026-10-15T00:04:13.1937986Z: Timeout: Provider did not respond within 3000 ms'; malformed response → Unavailable; outage with backoff (30s·2^n) retried by job → completed on attempt 2.</t>
        </is>
      </c>
      <c r="N169" s="26" t="inlineStr">
        <is>
          <t>Claude (automated test suite)</t>
        </is>
      </c>
      <c r="O169" s="27" t="n">
        <v>46310</v>
      </c>
      <c r="P169" s="26" t="n"/>
      <c r="Q169" s="26" t="inlineStr">
        <is>
          <t>Automated: ScreeningTests.Provider_failures_never_clear</t>
        </is>
      </c>
    </row>
    <row r="170" ht="22.35" customHeight="1" s="15">
      <c r="A170" s="25" t="inlineStr">
        <is>
          <t>TC-SCR-005</t>
        </is>
      </c>
      <c r="B170" s="25" t="inlineStr">
        <is>
          <t>Screening &amp; List Management</t>
        </is>
      </c>
      <c r="C170" s="25" t="inlineStr">
        <is>
          <t>§9, §21</t>
        </is>
      </c>
      <c r="D170" s="25" t="inlineStr">
        <is>
          <t>Manual retry</t>
        </is>
      </c>
      <c r="E170" s="25" t="inlineStr">
        <is>
          <t>Unavailable item</t>
        </is>
      </c>
      <c r="F170" s="25" t="inlineStr">
        <is>
          <t>1. Click retry</t>
        </is>
      </c>
      <c r="G170" s="25" t="inlineStr">
        <is>
          <t>—</t>
        </is>
      </c>
      <c r="H170" s="25" t="inlineStr">
        <is>
          <t>Request sent; audited</t>
        </is>
      </c>
      <c r="I170" s="25" t="inlineStr">
        <is>
          <t>P3</t>
        </is>
      </c>
      <c r="J170" s="25" t="inlineStr">
        <is>
          <t>Functional</t>
        </is>
      </c>
      <c r="K170" s="25" t="inlineStr">
        <is>
          <t>E2E</t>
        </is>
      </c>
      <c r="L170" s="26" t="inlineStr">
        <is>
          <t>Pass</t>
        </is>
      </c>
      <c r="M170" s="26" t="inlineStr">
        <is>
          <t>Timeout → Unavailable (never Clear), manual retry audited and completed keeping failure history 'attempt 1 at 2026-10-15T00:04:13.1937986Z: Timeout: Provider did not respond within 3000 ms'; malformed response → Unavailable; outage with backoff (30s·2^n) retried by job → completed on attempt 2.</t>
        </is>
      </c>
      <c r="N170" s="26" t="inlineStr">
        <is>
          <t>Claude (automated test suite)</t>
        </is>
      </c>
      <c r="O170" s="27" t="n">
        <v>46310</v>
      </c>
      <c r="P170" s="26" t="n"/>
      <c r="Q170" s="26" t="inlineStr">
        <is>
          <t>Automated: ScreeningTests.Provider_failures_never_clear</t>
        </is>
      </c>
    </row>
    <row r="171" ht="22.35" customHeight="1" s="15">
      <c r="A171" s="25" t="inlineStr">
        <is>
          <t>TC-SCR-006</t>
        </is>
      </c>
      <c r="B171" s="25" t="inlineStr">
        <is>
          <t>Screening &amp; List Management</t>
        </is>
      </c>
      <c r="C171" s="25" t="inlineStr">
        <is>
          <t>§9, §21</t>
        </is>
      </c>
      <c r="D171" s="25" t="inlineStr">
        <is>
          <t>Screening state separate from risk</t>
        </is>
      </c>
      <c r="E171" s="25" t="inlineStr">
        <is>
          <t>Confirmed false positive</t>
        </is>
      </c>
      <c r="F171" s="25" t="inlineStr">
        <is>
          <t>1. Open profile</t>
        </is>
      </c>
      <c r="G171" s="25" t="inlineStr">
        <is>
          <t>—</t>
        </is>
      </c>
      <c r="H171" s="25" t="inlineStr">
        <is>
          <t>Screening status and risk level shown separately</t>
        </is>
      </c>
      <c r="I171" s="25" t="inlineStr">
        <is>
          <t>P2</t>
        </is>
      </c>
      <c r="J171" s="25" t="inlineStr">
        <is>
          <t>UI</t>
        </is>
      </c>
      <c r="K171" s="25" t="inlineStr">
        <is>
          <t>E2E</t>
        </is>
      </c>
      <c r="L171" s="26" t="inlineStr">
        <is>
          <t>Pass</t>
        </is>
      </c>
      <c r="M171" s="26" t="inlineStr">
        <is>
          <t>After false-positive clearance: screening status 'Clear' and risk level 'Low' are separate fields (UI badges screening-status / risk-level). | Name containing &lt;script&gt;/&lt;img onerror&gt; displayed as literal text, no script executed or element injected; all 14 profile tabs load API data or empty state; screening status and risk level shown as separate badges.</t>
        </is>
      </c>
      <c r="N171" s="26" t="inlineStr">
        <is>
          <t>Claude (automated test suite)</t>
        </is>
      </c>
      <c r="O171" s="27" t="n">
        <v>46310</v>
      </c>
      <c r="P171" s="26" t="n"/>
      <c r="Q171" s="26" t="inlineStr">
        <is>
          <t>Automated: ScreeningTests.Screening_separate_from_risk; E2E: [TC-SEC-015, TC-CUS-012, TC-SCR-006] XSS rendered as text; profile tabs and separate screening/risk badges</t>
        </is>
      </c>
    </row>
    <row r="172" ht="22.35" customHeight="1" s="15">
      <c r="A172" s="25" t="inlineStr">
        <is>
          <t>TC-SCR-007</t>
        </is>
      </c>
      <c r="B172" s="25" t="inlineStr">
        <is>
          <t>Screening &amp; List Management</t>
        </is>
      </c>
      <c r="C172" s="25" t="inlineStr">
        <is>
          <t>§9, §21</t>
        </is>
      </c>
      <c r="D172" s="25" t="inlineStr">
        <is>
          <t>List update ingested with version</t>
        </is>
      </c>
      <c r="E172" s="25" t="inlineStr">
        <is>
          <t>New UN list version</t>
        </is>
      </c>
      <c r="F172" s="25" t="inlineStr">
        <is>
          <t>1. Ingest</t>
        </is>
      </c>
      <c r="G172" s="25" t="inlineStr">
        <is>
          <t>—</t>
        </is>
      </c>
      <c r="H172" s="25" t="inlineStr">
        <is>
          <t>Version, publication time, additions/amendments/removals stored</t>
        </is>
      </c>
      <c r="I172" s="25" t="inlineStr">
        <is>
          <t>P1</t>
        </is>
      </c>
      <c r="J172" s="25" t="inlineStr">
        <is>
          <t>Functional</t>
        </is>
      </c>
      <c r="K172" s="25" t="inlineStr">
        <is>
          <t>Integration</t>
        </is>
      </c>
      <c r="L172" s="26" t="inlineStr">
        <is>
          <t>Pass</t>
        </is>
      </c>
      <c r="M172" s="26" t="inlineStr">
        <is>
          <t>Version V-1a3390a3d5 stored (published 2026-10-14T22:04:13.7359298Z, +3/~0/-0); delta rescreen of 683 subjects raised matches for customer, UBO and signatory; time-to-screen 17909 ms.</t>
        </is>
      </c>
      <c r="N172" s="26" t="inlineStr">
        <is>
          <t>Claude (automated test suite)</t>
        </is>
      </c>
      <c r="O172" s="27" t="n">
        <v>46310</v>
      </c>
      <c r="P172" s="26" t="n"/>
      <c r="Q172" s="26" t="inlineStr">
        <is>
          <t>Automated: ScreeningTests.List_version_and_delta_rescreen</t>
        </is>
      </c>
    </row>
    <row r="173" ht="22.35" customHeight="1" s="15">
      <c r="A173" s="25" t="inlineStr">
        <is>
          <t>TC-SCR-008</t>
        </is>
      </c>
      <c r="B173" s="25" t="inlineStr">
        <is>
          <t>Screening &amp; List Management</t>
        </is>
      </c>
      <c r="C173" s="25" t="inlineStr">
        <is>
          <t>§9, §21</t>
        </is>
      </c>
      <c r="D173" s="25" t="inlineStr">
        <is>
          <t>Delta rescreening on list update</t>
        </is>
      </c>
      <c r="E173" s="25" t="inlineStr">
        <is>
          <t>New entry added</t>
        </is>
      </c>
      <c r="F173" s="25" t="inlineStr">
        <is>
          <t>1. Ingest update</t>
        </is>
      </c>
      <c r="G173" s="25" t="inlineStr">
        <is>
          <t>—</t>
        </is>
      </c>
      <c r="H173" s="25" t="inlineStr">
        <is>
          <t>All customers, UBOs, signatories rescreened against delta; time-to-screen recorded</t>
        </is>
      </c>
      <c r="I173" s="25" t="inlineStr">
        <is>
          <t>P1</t>
        </is>
      </c>
      <c r="J173" s="25" t="inlineStr">
        <is>
          <t>Functional</t>
        </is>
      </c>
      <c r="K173" s="25" t="inlineStr">
        <is>
          <t>Integration</t>
        </is>
      </c>
      <c r="L173" s="26" t="inlineStr">
        <is>
          <t>Pass</t>
        </is>
      </c>
      <c r="M173" s="26" t="inlineStr">
        <is>
          <t>Version V-1a3390a3d5 stored (published 2026-10-14T22:04:13.7359298Z, +3/~0/-0); delta rescreen of 683 subjects raised matches for customer, UBO and signatory; time-to-screen 17909 ms.</t>
        </is>
      </c>
      <c r="N173" s="26" t="inlineStr">
        <is>
          <t>Claude (automated test suite)</t>
        </is>
      </c>
      <c r="O173" s="27" t="n">
        <v>46310</v>
      </c>
      <c r="P173" s="26" t="n"/>
      <c r="Q173" s="26" t="inlineStr">
        <is>
          <t>Automated: ScreeningTests.List_version_and_delta_rescreen</t>
        </is>
      </c>
    </row>
    <row r="174" ht="22.35" customHeight="1" s="15">
      <c r="A174" s="25" t="inlineStr">
        <is>
          <t>TC-SCR-009</t>
        </is>
      </c>
      <c r="B174" s="25" t="inlineStr">
        <is>
          <t>Screening &amp; List Management</t>
        </is>
      </c>
      <c r="C174" s="25" t="inlineStr">
        <is>
          <t>§9, §21</t>
        </is>
      </c>
      <c r="D174" s="25" t="inlineStr">
        <is>
          <t>Removal of list entry</t>
        </is>
      </c>
      <c r="E174" s="25" t="inlineStr">
        <is>
          <t>Entry removed</t>
        </is>
      </c>
      <c r="F174" s="25" t="inlineStr">
        <is>
          <t>1. Ingest</t>
        </is>
      </c>
      <c r="G174" s="25" t="inlineStr">
        <is>
          <t>—</t>
        </is>
      </c>
      <c r="H174" s="25" t="inlineStr">
        <is>
          <t>Open matches flagged for review; release workflow offered</t>
        </is>
      </c>
      <c r="I174" s="25" t="inlineStr">
        <is>
          <t>P2</t>
        </is>
      </c>
      <c r="J174" s="25" t="inlineStr">
        <is>
          <t>Functional</t>
        </is>
      </c>
      <c r="K174" s="25" t="inlineStr">
        <is>
          <t>Integration</t>
        </is>
      </c>
      <c r="L174" s="26" t="inlineStr">
        <is>
          <t>Pass</t>
        </is>
      </c>
      <c r="M174" s="26" t="inlineStr">
        <is>
          <t>Entry R-d67e0e13 removed → open match flagged NeedsReview ('List entry R-d67e0e13 removed in version V-T-d860ae333d2c; review and release workflow available.'); historical evidence retained; release workflow via FalsePositive/UnderReview transitions.</t>
        </is>
      </c>
      <c r="N174" s="26" t="inlineStr">
        <is>
          <t>Claude (automated test suite)</t>
        </is>
      </c>
      <c r="O174" s="27" t="n">
        <v>46310</v>
      </c>
      <c r="P174" s="26" t="n"/>
      <c r="Q174" s="26" t="inlineStr">
        <is>
          <t>Automated: ScreeningTests.Entry_removal_flags_matches</t>
        </is>
      </c>
    </row>
    <row r="175" ht="22.35" customHeight="1" s="15">
      <c r="A175" s="25" t="inlineStr">
        <is>
          <t>TC-SCR-010</t>
        </is>
      </c>
      <c r="B175" s="25" t="inlineStr">
        <is>
          <t>Screening &amp; List Management</t>
        </is>
      </c>
      <c r="C175" s="25" t="inlineStr">
        <is>
          <t>§9, §21</t>
        </is>
      </c>
      <c r="D175" s="25" t="inlineStr">
        <is>
          <t>Allow-list suppresses repeat false positive</t>
        </is>
      </c>
      <c r="E175" s="25" t="inlineStr">
        <is>
          <t>Cleared FP</t>
        </is>
      </c>
      <c r="F175" s="25" t="inlineStr">
        <is>
          <t>1. Rescreen unchanged subject</t>
        </is>
      </c>
      <c r="G175" s="25" t="inlineStr">
        <is>
          <t>—</t>
        </is>
      </c>
      <c r="H175" s="25" t="inlineStr">
        <is>
          <t>No new alert; suppression logged</t>
        </is>
      </c>
      <c r="I175" s="25" t="inlineStr">
        <is>
          <t>P1</t>
        </is>
      </c>
      <c r="J175" s="25" t="inlineStr">
        <is>
          <t>Functional</t>
        </is>
      </c>
      <c r="K175" s="25" t="inlineStr">
        <is>
          <t>Integration</t>
        </is>
      </c>
      <c r="L175" s="26" t="inlineStr">
        <is>
          <t>Pass</t>
        </is>
      </c>
      <c r="M175" s="26" t="inlineStr">
        <is>
          <t>Rescreen of unchanged subject suppressed by allow-list (suppression logged, no new alert); DOB change invalidated suppression → match re-raised; list-entry amendment invalidated suppression → match re-raised.</t>
        </is>
      </c>
      <c r="N175" s="26" t="inlineStr">
        <is>
          <t>Claude (automated test suite)</t>
        </is>
      </c>
      <c r="O175" s="27" t="n">
        <v>46310</v>
      </c>
      <c r="P175" s="26" t="n"/>
      <c r="Q175" s="26" t="inlineStr">
        <is>
          <t>Automated: ScreeningTests.Allow_list_behaviour</t>
        </is>
      </c>
    </row>
    <row r="176" ht="22.35" customHeight="1" s="15">
      <c r="A176" s="25" t="inlineStr">
        <is>
          <t>TC-SCR-011</t>
        </is>
      </c>
      <c r="B176" s="25" t="inlineStr">
        <is>
          <t>Screening &amp; List Management</t>
        </is>
      </c>
      <c r="C176" s="25" t="inlineStr">
        <is>
          <t>§9, §21</t>
        </is>
      </c>
      <c r="D176" s="25" t="inlineStr">
        <is>
          <t>Allow-list invalidated on change</t>
        </is>
      </c>
      <c r="E176" s="25" t="inlineStr">
        <is>
          <t>Subject DOB changed</t>
        </is>
      </c>
      <c r="F176" s="25" t="inlineStr">
        <is>
          <t>1. Rescreen</t>
        </is>
      </c>
      <c r="G176" s="25" t="inlineStr">
        <is>
          <t>—</t>
        </is>
      </c>
      <c r="H176" s="25" t="inlineStr">
        <is>
          <t>Match re-raised</t>
        </is>
      </c>
      <c r="I176" s="25" t="inlineStr">
        <is>
          <t>P1</t>
        </is>
      </c>
      <c r="J176" s="25" t="inlineStr">
        <is>
          <t>Functional</t>
        </is>
      </c>
      <c r="K176" s="25" t="inlineStr">
        <is>
          <t>Integration</t>
        </is>
      </c>
      <c r="L176" s="26" t="inlineStr">
        <is>
          <t>Pass</t>
        </is>
      </c>
      <c r="M176" s="26" t="inlineStr">
        <is>
          <t>Rescreen of unchanged subject suppressed by allow-list (suppression logged, no new alert); DOB change invalidated suppression → match re-raised; list-entry amendment invalidated suppression → match re-raised.</t>
        </is>
      </c>
      <c r="N176" s="26" t="inlineStr">
        <is>
          <t>Claude (automated test suite)</t>
        </is>
      </c>
      <c r="O176" s="27" t="n">
        <v>46310</v>
      </c>
      <c r="P176" s="26" t="n"/>
      <c r="Q176" s="26" t="inlineStr">
        <is>
          <t>Automated: ScreeningTests.Allow_list_behaviour</t>
        </is>
      </c>
    </row>
    <row r="177" ht="22.35" customHeight="1" s="15">
      <c r="A177" s="25" t="inlineStr">
        <is>
          <t>TC-SCR-012</t>
        </is>
      </c>
      <c r="B177" s="25" t="inlineStr">
        <is>
          <t>Screening &amp; List Management</t>
        </is>
      </c>
      <c r="C177" s="25" t="inlineStr">
        <is>
          <t>§9, §21</t>
        </is>
      </c>
      <c r="D177" s="25" t="inlineStr">
        <is>
          <t>Allow-list invalidated on list entry amendment</t>
        </is>
      </c>
      <c r="E177" s="25" t="inlineStr">
        <is>
          <t>Entry amended</t>
        </is>
      </c>
      <c r="F177" s="25" t="inlineStr">
        <is>
          <t>1. Rescreen</t>
        </is>
      </c>
      <c r="G177" s="25" t="inlineStr">
        <is>
          <t>—</t>
        </is>
      </c>
      <c r="H177" s="25" t="inlineStr">
        <is>
          <t>Match re-raised</t>
        </is>
      </c>
      <c r="I177" s="25" t="inlineStr">
        <is>
          <t>P2</t>
        </is>
      </c>
      <c r="J177" s="25" t="inlineStr">
        <is>
          <t>Functional</t>
        </is>
      </c>
      <c r="K177" s="25" t="inlineStr">
        <is>
          <t>Integration</t>
        </is>
      </c>
      <c r="L177" s="26" t="inlineStr">
        <is>
          <t>Pass</t>
        </is>
      </c>
      <c r="M177" s="26" t="inlineStr">
        <is>
          <t>Rescreen of unchanged subject suppressed by allow-list (suppression logged, no new alert); DOB change invalidated suppression → match re-raised; list-entry amendment invalidated suppression → match re-raised.</t>
        </is>
      </c>
      <c r="N177" s="26" t="inlineStr">
        <is>
          <t>Claude (automated test suite)</t>
        </is>
      </c>
      <c r="O177" s="27" t="n">
        <v>46310</v>
      </c>
      <c r="P177" s="26" t="n"/>
      <c r="Q177" s="26" t="inlineStr">
        <is>
          <t>Automated: ScreeningTests.Allow_list_behaviour</t>
        </is>
      </c>
    </row>
    <row r="178" ht="22.35" customHeight="1" s="15">
      <c r="A178" s="25" t="inlineStr">
        <is>
          <t>TC-SCR-013</t>
        </is>
      </c>
      <c r="B178" s="25" t="inlineStr">
        <is>
          <t>Screening &amp; List Management</t>
        </is>
      </c>
      <c r="C178" s="25" t="inlineStr">
        <is>
          <t>§9, §21</t>
        </is>
      </c>
      <c r="D178" s="25" t="inlineStr">
        <is>
          <t>Proliferation financing list supported</t>
        </is>
      </c>
      <c r="E178" s="25" t="inlineStr">
        <is>
          <t>PF list configured</t>
        </is>
      </c>
      <c r="F178" s="25" t="inlineStr">
        <is>
          <t>1. Screen</t>
        </is>
      </c>
      <c r="G178" s="25" t="inlineStr">
        <is>
          <t>—</t>
        </is>
      </c>
      <c r="H178" s="25" t="inlineStr">
        <is>
          <t>Matches categorized as PF</t>
        </is>
      </c>
      <c r="I178" s="25" t="inlineStr">
        <is>
          <t>P2</t>
        </is>
      </c>
      <c r="J178" s="25" t="inlineStr">
        <is>
          <t>Functional</t>
        </is>
      </c>
      <c r="K178" s="25" t="inlineStr">
        <is>
          <t>Integration</t>
        </is>
      </c>
      <c r="L178" s="26" t="inlineStr">
        <is>
          <t>Pass</t>
        </is>
      </c>
      <c r="M178" s="26" t="inlineStr">
        <is>
          <t>Match against PF-TEST categorized 'ProliferationFinancing' and routed by the mandatory-list action policy (Sanctions,Terrorism,ProliferationFinancing).</t>
        </is>
      </c>
      <c r="N178" s="26" t="inlineStr">
        <is>
          <t>Claude (automated test suite)</t>
        </is>
      </c>
      <c r="O178" s="27" t="n">
        <v>46310</v>
      </c>
      <c r="P178" s="26" t="n"/>
      <c r="Q178" s="26" t="inlineStr">
        <is>
          <t>Automated: ScreeningTests.Pf_list</t>
        </is>
      </c>
    </row>
    <row r="179" ht="22.35" customHeight="1" s="15">
      <c r="A179" s="25" t="inlineStr">
        <is>
          <t>TC-SCR-014</t>
        </is>
      </c>
      <c r="B179" s="25" t="inlineStr">
        <is>
          <t>Screening &amp; List Management</t>
        </is>
      </c>
      <c r="C179" s="25" t="inlineStr">
        <is>
          <t>§9, §21</t>
        </is>
      </c>
      <c r="D179" s="25" t="inlineStr">
        <is>
          <t>Provider response stored securely</t>
        </is>
      </c>
      <c r="E179" s="25" t="inlineStr">
        <is>
          <t>—</t>
        </is>
      </c>
      <c r="F179" s="25" t="inlineStr">
        <is>
          <t>1. Inspect storage</t>
        </is>
      </c>
      <c r="G179" s="25" t="inlineStr">
        <is>
          <t>—</t>
        </is>
      </c>
      <c r="H179" s="25" t="inlineStr">
        <is>
          <t>Response stored with restricted access</t>
        </is>
      </c>
      <c r="I179" s="25" t="inlineStr">
        <is>
          <t>P2</t>
        </is>
      </c>
      <c r="J179" s="25" t="inlineStr">
        <is>
          <t>Security</t>
        </is>
      </c>
      <c r="K179" s="25" t="inlineStr">
        <is>
          <t>Integration</t>
        </is>
      </c>
      <c r="L179" s="26" t="inlineStr">
        <is>
          <t>Pass</t>
        </is>
      </c>
      <c r="M179" s="26" t="inlineStr">
        <is>
          <t>Provider response stored AES-GCM encrypted; hidden from officer (no screening.raw); visible to authorized manager with SCREENING_RAW_READ audit.</t>
        </is>
      </c>
      <c r="N179" s="26" t="inlineStr">
        <is>
          <t>Claude (automated test suite)</t>
        </is>
      </c>
      <c r="O179" s="27" t="n">
        <v>46310</v>
      </c>
      <c r="P179" s="26" t="n"/>
      <c r="Q179" s="26" t="inlineStr">
        <is>
          <t>Automated: ScreeningTests.Provider_response_restricted</t>
        </is>
      </c>
    </row>
    <row r="180" ht="22.35" customHeight="1" s="15">
      <c r="A180" s="25" t="inlineStr">
        <is>
          <t>TC-SCR-015</t>
        </is>
      </c>
      <c r="B180" s="25" t="inlineStr">
        <is>
          <t>Screening &amp; List Management</t>
        </is>
      </c>
      <c r="C180" s="25" t="inlineStr">
        <is>
          <t>§9, §21</t>
        </is>
      </c>
      <c r="D180" s="25" t="inlineStr">
        <is>
          <t>Screening idempotency</t>
        </is>
      </c>
      <c r="E180" s="25" t="inlineStr">
        <is>
          <t>Same request ID</t>
        </is>
      </c>
      <c r="F180" s="25" t="inlineStr">
        <is>
          <t>1. Send twice</t>
        </is>
      </c>
      <c r="G180" s="25" t="inlineStr">
        <is>
          <t>—</t>
        </is>
      </c>
      <c r="H180" s="25" t="inlineStr">
        <is>
          <t>One screening result</t>
        </is>
      </c>
      <c r="I180" s="25" t="inlineStr">
        <is>
          <t>P2</t>
        </is>
      </c>
      <c r="J180" s="25" t="inlineStr">
        <is>
          <t>Functional</t>
        </is>
      </c>
      <c r="K180" s="25" t="inlineStr">
        <is>
          <t>Integration</t>
        </is>
      </c>
      <c r="L180" s="26" t="inlineStr">
        <is>
          <t>Pass</t>
        </is>
      </c>
      <c r="M180" s="26" t="inlineStr">
        <is>
          <t>Same idempotency key → same request/result; subsequent manual rescreen after the delta rescreen produced no duplicate logical result (1 result).</t>
        </is>
      </c>
      <c r="N180" s="26" t="inlineStr">
        <is>
          <t>Claude (automated test suite)</t>
        </is>
      </c>
      <c r="O180" s="27" t="n">
        <v>46310</v>
      </c>
      <c r="P180" s="26" t="n"/>
      <c r="Q180" s="26" t="inlineStr">
        <is>
          <t>Automated: ScreeningTests.Screening_idempotent</t>
        </is>
      </c>
    </row>
    <row r="181" ht="22.35" customHeight="1" s="15">
      <c r="A181" s="25" t="inlineStr">
        <is>
          <t>TC-SCR-016</t>
        </is>
      </c>
      <c r="B181" s="25" t="inlineStr">
        <is>
          <t>Screening &amp; List Management</t>
        </is>
      </c>
      <c r="C181" s="25" t="inlineStr">
        <is>
          <t>§9, §21</t>
        </is>
      </c>
      <c r="D181" s="25" t="inlineStr">
        <is>
          <t>Screening report counts</t>
        </is>
      </c>
      <c r="E181" s="25" t="inlineStr">
        <is>
          <t>Mixed states</t>
        </is>
      </c>
      <c r="F181" s="25" t="inlineStr">
        <is>
          <t>1. Run screening report</t>
        </is>
      </c>
      <c r="G181" s="25" t="inlineStr">
        <is>
          <t>—</t>
        </is>
      </c>
      <c r="H181" s="25" t="inlineStr">
        <is>
          <t>Pending/unavailable/confirmed/FP counts correct</t>
        </is>
      </c>
      <c r="I181" s="25" t="inlineStr">
        <is>
          <t>P3</t>
        </is>
      </c>
      <c r="J181" s="25" t="inlineStr">
        <is>
          <t>Functional</t>
        </is>
      </c>
      <c r="K181" s="25" t="inlineStr">
        <is>
          <t>E2E</t>
        </is>
      </c>
      <c r="L181" s="26" t="inlineStr">
        <is>
          <t>Pass</t>
        </is>
      </c>
      <c r="M181" s="26" t="inlineStr">
        <is>
          <t>Screening summary report lists counts per status (ConfirmedMatch=3, FalsePositive=3, PotentialMatch=7) plus request states (pending/unavailable).</t>
        </is>
      </c>
      <c r="N181" s="26" t="inlineStr">
        <is>
          <t>Claude (automated test suite)</t>
        </is>
      </c>
      <c r="O181" s="27" t="n">
        <v>46310</v>
      </c>
      <c r="P181" s="26" t="n"/>
      <c r="Q181" s="26" t="inlineStr">
        <is>
          <t>Automated: ScreeningTests.Screening_report_counts</t>
        </is>
      </c>
    </row>
    <row r="182" ht="22.35" customHeight="1" s="15">
      <c r="A182" s="25" t="inlineStr">
        <is>
          <t>TC-ACT-001</t>
        </is>
      </c>
      <c r="B182" s="25" t="inlineStr">
        <is>
          <t>Compliance Actions &amp; Freezing</t>
        </is>
      </c>
      <c r="C182" s="25" t="inlineStr">
        <is>
          <t>§21</t>
        </is>
      </c>
      <c r="D182" s="25" t="inlineStr">
        <is>
          <t>Auto-freeze on confirmed mandatory-list match</t>
        </is>
      </c>
      <c r="E182" s="25" t="inlineStr">
        <is>
          <t>Policy: UN/national → auto freeze</t>
        </is>
      </c>
      <c r="F182" s="25" t="inlineStr">
        <is>
          <t>1. Confirm match</t>
        </is>
      </c>
      <c r="G182" s="25" t="inlineStr">
        <is>
          <t>—</t>
        </is>
      </c>
      <c r="H182" s="25" t="inlineStr">
        <is>
          <t>Freeze command sent to core with idempotency key; status Pending Ack</t>
        </is>
      </c>
      <c r="I182" s="25" t="inlineStr">
        <is>
          <t>P1</t>
        </is>
      </c>
      <c r="J182" s="25" t="inlineStr">
        <is>
          <t>Functional</t>
        </is>
      </c>
      <c r="K182" s="25" t="inlineStr">
        <is>
          <t>Integration</t>
        </is>
      </c>
      <c r="L182" s="26" t="inlineStr">
        <is>
          <t>Pass</t>
        </is>
      </c>
      <c r="M182" s="26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N182" s="26" t="inlineStr">
        <is>
          <t>Claude (automated test suite)</t>
        </is>
      </c>
      <c r="O182" s="27" t="n">
        <v>46310</v>
      </c>
      <c r="P182" s="26" t="n"/>
      <c r="Q182" s="26" t="inlineStr">
        <is>
          <t>Automated: ComplianceActionTests.Auto_freeze_on_confirmed_mandatory_match</t>
        </is>
      </c>
    </row>
    <row r="183" ht="22.35" customHeight="1" s="15">
      <c r="A183" s="25" t="inlineStr">
        <is>
          <t>TC-ACT-002</t>
        </is>
      </c>
      <c r="B183" s="25" t="inlineStr">
        <is>
          <t>Compliance Actions &amp; Freezing</t>
        </is>
      </c>
      <c r="C183" s="25" t="inlineStr">
        <is>
          <t>§21</t>
        </is>
      </c>
      <c r="D183" s="25" t="inlineStr">
        <is>
          <t>Core acknowledgement updates state</t>
        </is>
      </c>
      <c r="E183" s="25" t="inlineStr">
        <is>
          <t>Freeze sent</t>
        </is>
      </c>
      <c r="F183" s="25" t="inlineStr">
        <is>
          <t>1. Core returns ack</t>
        </is>
      </c>
      <c r="G183" s="25" t="inlineStr">
        <is>
          <t>—</t>
        </is>
      </c>
      <c r="H183" s="25" t="inlineStr">
        <is>
          <t>Action status Applied; profile shows frozen</t>
        </is>
      </c>
      <c r="I183" s="25" t="inlineStr">
        <is>
          <t>P1</t>
        </is>
      </c>
      <c r="J183" s="25" t="inlineStr">
        <is>
          <t>Integration</t>
        </is>
      </c>
      <c r="K183" s="25" t="inlineStr">
        <is>
          <t>Integration</t>
        </is>
      </c>
      <c r="L183" s="26" t="inlineStr">
        <is>
          <t>Pass</t>
        </is>
      </c>
      <c r="M183" s="26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N183" s="26" t="inlineStr">
        <is>
          <t>Claude (automated test suite)</t>
        </is>
      </c>
      <c r="O183" s="27" t="n">
        <v>46310</v>
      </c>
      <c r="P183" s="26" t="n"/>
      <c r="Q183" s="26" t="inlineStr">
        <is>
          <t>Automated: ComplianceActionTests.Auto_freeze_on_confirmed_mandatory_match</t>
        </is>
      </c>
    </row>
    <row r="184" ht="22.35" customHeight="1" s="15">
      <c r="A184" s="25" t="inlineStr">
        <is>
          <t>TC-ACT-003</t>
        </is>
      </c>
      <c r="B184" s="25" t="inlineStr">
        <is>
          <t>Compliance Actions &amp; Freezing</t>
        </is>
      </c>
      <c r="C184" s="25" t="inlineStr">
        <is>
          <t>§21</t>
        </is>
      </c>
      <c r="D184" s="25" t="inlineStr">
        <is>
          <t>Core failure retried and visible</t>
        </is>
      </c>
      <c r="E184" s="25" t="inlineStr">
        <is>
          <t>Core unavailable</t>
        </is>
      </c>
      <c r="F184" s="25" t="inlineStr">
        <is>
          <t>1. Send freeze</t>
        </is>
      </c>
      <c r="G184" s="25" t="inlineStr">
        <is>
          <t>—</t>
        </is>
      </c>
      <c r="H184" s="25" t="inlineStr">
        <is>
          <t>Retries; alert to operations; never shown as applied</t>
        </is>
      </c>
      <c r="I184" s="25" t="inlineStr">
        <is>
          <t>P1</t>
        </is>
      </c>
      <c r="J184" s="25" t="inlineStr">
        <is>
          <t>Negative</t>
        </is>
      </c>
      <c r="K184" s="25" t="inlineStr">
        <is>
          <t>Integration</t>
        </is>
      </c>
      <c r="L184" s="26" t="inlineStr">
        <is>
          <t>Pass</t>
        </is>
      </c>
      <c r="M184" s="26" t="inlineStr">
        <is>
          <t>Core unavailable twice → Retrying with backoff, ops alert raised, never shown as applied; third attempt via action-retry job → Applied (attempts 3); single core command for the idempotency key.</t>
        </is>
      </c>
      <c r="N184" s="26" t="inlineStr">
        <is>
          <t>Claude (automated test suite)</t>
        </is>
      </c>
      <c r="O184" s="27" t="n">
        <v>46310</v>
      </c>
      <c r="P184" s="26" t="n"/>
      <c r="Q184" s="26" t="inlineStr">
        <is>
          <t>Automated: ComplianceActionTests.Core_failure_retried_never_applied</t>
        </is>
      </c>
    </row>
    <row r="185" ht="22.35" customHeight="1" s="15">
      <c r="A185" s="25" t="inlineStr">
        <is>
          <t>TC-ACT-004</t>
        </is>
      </c>
      <c r="B185" s="25" t="inlineStr">
        <is>
          <t>Compliance Actions &amp; Freezing</t>
        </is>
      </c>
      <c r="C185" s="25" t="inlineStr">
        <is>
          <t>§21</t>
        </is>
      </c>
      <c r="D185" s="25" t="inlineStr">
        <is>
          <t>Duplicate freeze idempotent</t>
        </is>
      </c>
      <c r="E185" s="25" t="inlineStr">
        <is>
          <t>Freeze applied</t>
        </is>
      </c>
      <c r="F185" s="25" t="inlineStr">
        <is>
          <t>1. Resend same command</t>
        </is>
      </c>
      <c r="G185" s="25" t="inlineStr">
        <is>
          <t>—</t>
        </is>
      </c>
      <c r="H185" s="25" t="inlineStr">
        <is>
          <t>Core not double-processed; single action record</t>
        </is>
      </c>
      <c r="I185" s="25" t="inlineStr">
        <is>
          <t>P2</t>
        </is>
      </c>
      <c r="J185" s="25" t="inlineStr">
        <is>
          <t>Functional</t>
        </is>
      </c>
      <c r="K185" s="25" t="inlineStr">
        <is>
          <t>Integration</t>
        </is>
      </c>
      <c r="L185" s="26" t="inlineStr">
        <is>
          <t>Pass</t>
        </is>
      </c>
      <c r="M185" s="26" t="inlineStr">
        <is>
          <t>Same freeze requested twice with one idempotency key → single action record; resend after Applied did not reach core again (1 core command).</t>
        </is>
      </c>
      <c r="N185" s="26" t="inlineStr">
        <is>
          <t>Claude (automated test suite)</t>
        </is>
      </c>
      <c r="O185" s="27" t="n">
        <v>46310</v>
      </c>
      <c r="P185" s="26" t="n"/>
      <c r="Q185" s="26" t="inlineStr">
        <is>
          <t>Automated: ComplianceActionTests.Duplicate_freeze_idempotent</t>
        </is>
      </c>
    </row>
    <row r="186" ht="22.35" customHeight="1" s="15">
      <c r="A186" s="25" t="inlineStr">
        <is>
          <t>TC-ACT-005</t>
        </is>
      </c>
      <c r="B186" s="25" t="inlineStr">
        <is>
          <t>Compliance Actions &amp; Freezing</t>
        </is>
      </c>
      <c r="C186" s="25" t="inlineStr">
        <is>
          <t>§21</t>
        </is>
      </c>
      <c r="D186" s="25" t="inlineStr">
        <is>
          <t>Release requires four-eyes</t>
        </is>
      </c>
      <c r="E186" s="25" t="inlineStr">
        <is>
          <t>Wallet frozen</t>
        </is>
      </c>
      <c r="F186" s="25" t="inlineStr">
        <is>
          <t>1. Requester approves own release</t>
        </is>
      </c>
      <c r="G186" s="25" t="inlineStr">
        <is>
          <t>—</t>
        </is>
      </c>
      <c r="H186" s="25" t="inlineStr">
        <is>
          <t>Rejected</t>
        </is>
      </c>
      <c r="I186" s="25" t="inlineStr">
        <is>
          <t>P1</t>
        </is>
      </c>
      <c r="J186" s="25" t="inlineStr">
        <is>
          <t>Security</t>
        </is>
      </c>
      <c r="K186" s="25" t="inlineStr">
        <is>
          <t>API</t>
        </is>
      </c>
      <c r="L186" s="26" t="inlineStr">
        <is>
          <t>Pass</t>
        </is>
      </c>
      <c r="M186" s="26" t="inlineStr">
        <is>
          <t>Release PendingApproval; requester self-approval refused (403) and nothing sent to core; independent approval → Applied.</t>
        </is>
      </c>
      <c r="N186" s="26" t="inlineStr">
        <is>
          <t>Claude (automated test suite)</t>
        </is>
      </c>
      <c r="O186" s="27" t="n">
        <v>46310</v>
      </c>
      <c r="P186" s="26" t="n"/>
      <c r="Q186" s="26" t="inlineStr">
        <is>
          <t>Automated: ComplianceActionTests.Release_four_eyes</t>
        </is>
      </c>
    </row>
    <row r="187" ht="22.35" customHeight="1" s="15">
      <c r="A187" s="25" t="inlineStr">
        <is>
          <t>TC-ACT-006</t>
        </is>
      </c>
      <c r="B187" s="25" t="inlineStr">
        <is>
          <t>Compliance Actions &amp; Freezing</t>
        </is>
      </c>
      <c r="C187" s="25" t="inlineStr">
        <is>
          <t>§21</t>
        </is>
      </c>
      <c r="D187" s="25" t="inlineStr">
        <is>
          <t>Frozen funds recorded</t>
        </is>
      </c>
      <c r="E187" s="25" t="inlineStr">
        <is>
          <t>Freeze applied</t>
        </is>
      </c>
      <c r="F187" s="25" t="inlineStr">
        <is>
          <t>1. Open action</t>
        </is>
      </c>
      <c r="G187" s="25" t="inlineStr">
        <is>
          <t>—</t>
        </is>
      </c>
      <c r="H187" s="25" t="inlineStr">
        <is>
          <t>Amount, currency, timestamp recorded</t>
        </is>
      </c>
      <c r="I187" s="25" t="inlineStr">
        <is>
          <t>P1</t>
        </is>
      </c>
      <c r="J187" s="25" t="inlineStr">
        <is>
          <t>Data</t>
        </is>
      </c>
      <c r="K187" s="25" t="inlineStr">
        <is>
          <t>Integration</t>
        </is>
      </c>
      <c r="L187" s="26" t="inlineStr">
        <is>
          <t>Pass</t>
        </is>
      </c>
      <c r="M187" s="26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N187" s="26" t="inlineStr">
        <is>
          <t>Claude (automated test suite)</t>
        </is>
      </c>
      <c r="O187" s="27" t="n">
        <v>46310</v>
      </c>
      <c r="P187" s="26" t="n"/>
      <c r="Q187" s="26" t="inlineStr">
        <is>
          <t>Automated: ComplianceActionTests.Auto_freeze_on_confirmed_mandatory_match</t>
        </is>
      </c>
    </row>
    <row r="188" ht="22.35" customHeight="1" s="15">
      <c r="A188" s="25" t="inlineStr">
        <is>
          <t>TC-ACT-007</t>
        </is>
      </c>
      <c r="B188" s="25" t="inlineStr">
        <is>
          <t>Compliance Actions &amp; Freezing</t>
        </is>
      </c>
      <c r="C188" s="25" t="inlineStr">
        <is>
          <t>§21</t>
        </is>
      </c>
      <c r="D188" s="25" t="inlineStr">
        <is>
          <t>Notification report for frozen assets</t>
        </is>
      </c>
      <c r="E188" s="25" t="inlineStr">
        <is>
          <t>Freeze applied</t>
        </is>
      </c>
      <c r="F188" s="25" t="inlineStr">
        <is>
          <t>1. Generate notification</t>
        </is>
      </c>
      <c r="G188" s="25" t="inlineStr">
        <is>
          <t>—</t>
        </is>
      </c>
      <c r="H188" s="25" t="inlineStr">
        <is>
          <t>Report draft with required details</t>
        </is>
      </c>
      <c r="I188" s="25" t="inlineStr">
        <is>
          <t>P2</t>
        </is>
      </c>
      <c r="J188" s="25" t="inlineStr">
        <is>
          <t>Functional</t>
        </is>
      </c>
      <c r="K188" s="25" t="inlineStr">
        <is>
          <t>E2E</t>
        </is>
      </c>
      <c r="L188" s="26" t="inlineStr">
        <is>
          <t>Pass</t>
        </is>
      </c>
      <c r="M188" s="26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N188" s="26" t="inlineStr">
        <is>
          <t>Claude (automated test suite)</t>
        </is>
      </c>
      <c r="O188" s="27" t="n">
        <v>46310</v>
      </c>
      <c r="P188" s="26" t="n"/>
      <c r="Q188" s="26" t="inlineStr">
        <is>
          <t>Automated: ComplianceActionTests.Auto_freeze_on_confirmed_mandatory_match</t>
        </is>
      </c>
    </row>
    <row r="189" ht="22.35" customHeight="1" s="15">
      <c r="A189" s="25" t="inlineStr">
        <is>
          <t>TC-ACT-008</t>
        </is>
      </c>
      <c r="B189" s="25" t="inlineStr">
        <is>
          <t>Compliance Actions &amp; Freezing</t>
        </is>
      </c>
      <c r="C189" s="25" t="inlineStr">
        <is>
          <t>§21</t>
        </is>
      </c>
      <c r="D189" s="25" t="inlineStr">
        <is>
          <t>State reconciliation with core</t>
        </is>
      </c>
      <c r="E189" s="25" t="inlineStr">
        <is>
          <t>Core state changed manually</t>
        </is>
      </c>
      <c r="F189" s="25" t="inlineStr">
        <is>
          <t>1. Run reconciliation</t>
        </is>
      </c>
      <c r="G189" s="25" t="inlineStr">
        <is>
          <t>—</t>
        </is>
      </c>
      <c r="H189" s="25" t="inlineStr">
        <is>
          <t>Mismatch reported</t>
        </is>
      </c>
      <c r="I189" s="25" t="inlineStr">
        <is>
          <t>P2</t>
        </is>
      </c>
      <c r="J189" s="25" t="inlineStr">
        <is>
          <t>Integration</t>
        </is>
      </c>
      <c r="K189" s="25" t="inlineStr">
        <is>
          <t>Integration</t>
        </is>
      </c>
      <c r="L189" s="26" t="inlineStr">
        <is>
          <t>Pass</t>
        </is>
      </c>
      <c r="M189" s="26" t="inlineStr">
        <is>
          <t>Core state changed manually to Normal → reconciliation reports mismatch (AML=Frozen, core=Normal) and raises an operational alert.</t>
        </is>
      </c>
      <c r="N189" s="26" t="inlineStr">
        <is>
          <t>Claude (automated test suite)</t>
        </is>
      </c>
      <c r="O189" s="27" t="n">
        <v>46310</v>
      </c>
      <c r="P189" s="26" t="n"/>
      <c r="Q189" s="26" t="inlineStr">
        <is>
          <t>Automated: ComplianceActionTests.Reconciliation_mismatch</t>
        </is>
      </c>
    </row>
    <row r="190" ht="22.35" customHeight="1" s="15">
      <c r="A190" s="25" t="inlineStr">
        <is>
          <t>TC-ACT-009</t>
        </is>
      </c>
      <c r="B190" s="25" t="inlineStr">
        <is>
          <t>Compliance Actions &amp; Freezing</t>
        </is>
      </c>
      <c r="C190" s="25" t="inlineStr">
        <is>
          <t>§21</t>
        </is>
      </c>
      <c r="D190" s="25" t="inlineStr">
        <is>
          <t>Hold transaction action</t>
        </is>
      </c>
      <c r="E190" s="25" t="inlineStr">
        <is>
          <t>Rule action=hold</t>
        </is>
      </c>
      <c r="F190" s="25" t="inlineStr">
        <is>
          <t>1. Trigger</t>
        </is>
      </c>
      <c r="G190" s="25" t="inlineStr">
        <is>
          <t>—</t>
        </is>
      </c>
      <c r="H190" s="25" t="inlineStr">
        <is>
          <t>Hold command sent; transaction in hold queue</t>
        </is>
      </c>
      <c r="I190" s="25" t="inlineStr">
        <is>
          <t>P2</t>
        </is>
      </c>
      <c r="J190" s="25" t="inlineStr">
        <is>
          <t>Functional</t>
        </is>
      </c>
      <c r="K190" s="25" t="inlineStr">
        <is>
          <t>Integration</t>
        </is>
      </c>
      <c r="L190" s="26" t="inlineStr">
        <is>
          <t>Pass</t>
        </is>
      </c>
      <c r="M190" s="26" t="inlineStr">
        <is>
          <t>Rule with action HoldTransaction matched → hold command sent to (mock) core per RuleAction policy; transaction listed in hold queue.</t>
        </is>
      </c>
      <c r="N190" s="26" t="inlineStr">
        <is>
          <t>Claude (automated test suite)</t>
        </is>
      </c>
      <c r="O190" s="27" t="n">
        <v>46310</v>
      </c>
      <c r="P190" s="26" t="n"/>
      <c r="Q190" s="26" t="inlineStr">
        <is>
          <t>Automated: ComplianceActionTests.Rule_hold_action</t>
        </is>
      </c>
    </row>
    <row r="191" ht="22.35" customHeight="1" s="15">
      <c r="A191" s="25" t="inlineStr">
        <is>
          <t>TC-ACT-010</t>
        </is>
      </c>
      <c r="B191" s="25" t="inlineStr">
        <is>
          <t>Compliance Actions &amp; Freezing</t>
        </is>
      </c>
      <c r="C191" s="25" t="inlineStr">
        <is>
          <t>§21</t>
        </is>
      </c>
      <c r="D191" s="25" t="inlineStr">
        <is>
          <t>Suspend agent action</t>
        </is>
      </c>
      <c r="E191" s="25" t="inlineStr">
        <is>
          <t>Agent case</t>
        </is>
      </c>
      <c r="F191" s="25" t="inlineStr">
        <is>
          <t>1. Suspend</t>
        </is>
      </c>
      <c r="G191" s="25" t="inlineStr">
        <is>
          <t>—</t>
        </is>
      </c>
      <c r="H191" s="25" t="inlineStr">
        <is>
          <t>Command sent; agent status updated; audited</t>
        </is>
      </c>
      <c r="I191" s="25" t="inlineStr">
        <is>
          <t>P3</t>
        </is>
      </c>
      <c r="J191" s="25" t="inlineStr">
        <is>
          <t>Functional</t>
        </is>
      </c>
      <c r="K191" s="25" t="inlineStr">
        <is>
          <t>Integration</t>
        </is>
      </c>
      <c r="L191" s="26" t="inlineStr">
        <is>
          <t>Pass</t>
        </is>
      </c>
      <c r="M191" s="26" t="inlineStr">
        <is>
          <t>Unauthorized suspension → 403 and nothing sent; officer request pending approval (not sent); after senior approval command sent, agent status Suspended, dispatch audited.</t>
        </is>
      </c>
      <c r="N191" s="26" t="inlineStr">
        <is>
          <t>Claude (automated test suite)</t>
        </is>
      </c>
      <c r="O191" s="27" t="n">
        <v>46310</v>
      </c>
      <c r="P191" s="26" t="n"/>
      <c r="Q191" s="26" t="inlineStr">
        <is>
          <t>Automated: ComplianceActionTests.Suspend_agent</t>
        </is>
      </c>
    </row>
    <row r="192" ht="15" customHeight="1" s="15">
      <c r="A192" s="25" t="inlineStr">
        <is>
          <t>TC-RTD-001</t>
        </is>
      </c>
      <c r="B192" s="25" t="inlineStr">
        <is>
          <t>Real-time Decisioning</t>
        </is>
      </c>
      <c r="C192" s="25" t="inlineStr">
        <is>
          <t>§22</t>
        </is>
      </c>
      <c r="D192" s="25" t="inlineStr">
        <is>
          <t>Allow decision for clean transaction</t>
        </is>
      </c>
      <c r="E192" s="25" t="inlineStr">
        <is>
          <t>Real-time rules active</t>
        </is>
      </c>
      <c r="F192" s="25" t="inlineStr">
        <is>
          <t>1. POST decide with clean data</t>
        </is>
      </c>
      <c r="G192" s="25" t="inlineStr">
        <is>
          <t>—</t>
        </is>
      </c>
      <c r="H192" s="25" t="inlineStr">
        <is>
          <t>Allow, reason codes, decision ID within latency budget</t>
        </is>
      </c>
      <c r="I192" s="25" t="inlineStr">
        <is>
          <t>P1</t>
        </is>
      </c>
      <c r="J192" s="25" t="inlineStr">
        <is>
          <t>Functional</t>
        </is>
      </c>
      <c r="K192" s="25" t="inlineStr">
        <is>
          <t>API</t>
        </is>
      </c>
      <c r="L192" s="26" t="inlineStr">
        <is>
          <t>Pass</t>
        </is>
      </c>
      <c r="M192" s="26" t="inlineStr">
        <is>
          <t>Allow, reasons ["NO_RISK_INDICATORS"], decisionId 1b03bf33-0d4f-487d-a2ee-3fd9614e95bd, correlationId 53a4bc185344494b93af39ae0b8be3a0, latency 12 ms (&lt; 300 ms budget).</t>
        </is>
      </c>
      <c r="N192" s="26" t="inlineStr">
        <is>
          <t>Claude (automated test suite)</t>
        </is>
      </c>
      <c r="O192" s="27" t="n">
        <v>46310</v>
      </c>
      <c r="P192" s="26" t="n"/>
      <c r="Q192" s="26" t="inlineStr">
        <is>
          <t>Automated: RealtimeTests.Clean_allow</t>
        </is>
      </c>
    </row>
    <row r="193" ht="22.35" customHeight="1" s="15">
      <c r="A193" s="25" t="inlineStr">
        <is>
          <t>TC-RTD-002</t>
        </is>
      </c>
      <c r="B193" s="25" t="inlineStr">
        <is>
          <t>Real-time Decisioning</t>
        </is>
      </c>
      <c r="C193" s="25" t="inlineStr">
        <is>
          <t>§22</t>
        </is>
      </c>
      <c r="D193" s="25" t="inlineStr">
        <is>
          <t>Reject on sanctions name match in beneficiary</t>
        </is>
      </c>
      <c r="E193" s="25" t="inlineStr">
        <is>
          <t>Beneficiary on list</t>
        </is>
      </c>
      <c r="F193" s="25" t="inlineStr">
        <is>
          <t>1. Decide</t>
        </is>
      </c>
      <c r="G193" s="25" t="inlineStr">
        <is>
          <t>—</t>
        </is>
      </c>
      <c r="H193" s="25" t="inlineStr">
        <is>
          <t>Reject/Hold per config; reason code returned</t>
        </is>
      </c>
      <c r="I193" s="25" t="inlineStr">
        <is>
          <t>P1</t>
        </is>
      </c>
      <c r="J193" s="25" t="inlineStr">
        <is>
          <t>Functional</t>
        </is>
      </c>
      <c r="K193" s="25" t="inlineStr">
        <is>
          <t>API</t>
        </is>
      </c>
      <c r="L193" s="26" t="inlineStr">
        <is>
          <t>Pass</t>
        </is>
      </c>
      <c r="M193" s="26" t="inlineStr">
        <is>
          <t>Beneficiary on mandatory list → Reject with ["SANCTIONS_NAME_MATCH"] before execution; decision stored for audit.</t>
        </is>
      </c>
      <c r="N193" s="26" t="inlineStr">
        <is>
          <t>Claude (automated test suite)</t>
        </is>
      </c>
      <c r="O193" s="27" t="n">
        <v>46310</v>
      </c>
      <c r="P193" s="26" t="n"/>
      <c r="Q193" s="26" t="inlineStr">
        <is>
          <t>Automated: RealtimeTests.Sanctioned_beneficiary_rejected</t>
        </is>
      </c>
    </row>
    <row r="194" ht="22.35" customHeight="1" s="15">
      <c r="A194" s="25" t="inlineStr">
        <is>
          <t>TC-RTD-003</t>
        </is>
      </c>
      <c r="B194" s="25" t="inlineStr">
        <is>
          <t>Real-time Decisioning</t>
        </is>
      </c>
      <c r="C194" s="25" t="inlineStr">
        <is>
          <t>§22</t>
        </is>
      </c>
      <c r="D194" s="25" t="inlineStr">
        <is>
          <t>Screen free-text remarks</t>
        </is>
      </c>
      <c r="E194" s="25" t="inlineStr">
        <is>
          <t>Remark contains listed name</t>
        </is>
      </c>
      <c r="F194" s="25" t="inlineStr">
        <is>
          <t>1. Decide</t>
        </is>
      </c>
      <c r="G194" s="25" t="inlineStr">
        <is>
          <t>remark="for ACME TERROR LTD"</t>
        </is>
      </c>
      <c r="H194" s="25" t="inlineStr">
        <is>
          <t>Hold for review</t>
        </is>
      </c>
      <c r="I194" s="25" t="inlineStr">
        <is>
          <t>P1</t>
        </is>
      </c>
      <c r="J194" s="25" t="inlineStr">
        <is>
          <t>Functional</t>
        </is>
      </c>
      <c r="K194" s="25" t="inlineStr">
        <is>
          <t>API</t>
        </is>
      </c>
      <c r="L194" s="26" t="inlineStr">
        <is>
          <t>Pass</t>
        </is>
      </c>
      <c r="M194" s="26" t="inlineStr">
        <is>
          <t>Listed name inside free-text remarks → Hold (FREE_TEXT_LIST_MATCH) and hold-queue entry created.</t>
        </is>
      </c>
      <c r="N194" s="26" t="inlineStr">
        <is>
          <t>Claude (automated test suite)</t>
        </is>
      </c>
      <c r="O194" s="27" t="n">
        <v>46310</v>
      </c>
      <c r="P194" s="26" t="n"/>
      <c r="Q194" s="26" t="inlineStr">
        <is>
          <t>Automated: RealtimeTests.Remarks_screened</t>
        </is>
      </c>
    </row>
    <row r="195" ht="15" customHeight="1" s="15">
      <c r="A195" s="25" t="inlineStr">
        <is>
          <t>TC-RTD-004</t>
        </is>
      </c>
      <c r="B195" s="25" t="inlineStr">
        <is>
          <t>Real-time Decisioning</t>
        </is>
      </c>
      <c r="C195" s="25" t="inlineStr">
        <is>
          <t>§22</t>
        </is>
      </c>
      <c r="D195" s="25" t="inlineStr">
        <is>
          <t>Fail-closed on timeout</t>
        </is>
      </c>
      <c r="E195" s="25" t="inlineStr">
        <is>
          <t>Config fail-closed for &gt;1000 JOD</t>
        </is>
      </c>
      <c r="F195" s="25" t="inlineStr">
        <is>
          <t>1. Simulate AML latency &gt; budget</t>
        </is>
      </c>
      <c r="G195" s="25" t="inlineStr">
        <is>
          <t>—</t>
        </is>
      </c>
      <c r="H195" s="25" t="inlineStr">
        <is>
          <t>Reject returned by fallback; fallback recorded</t>
        </is>
      </c>
      <c r="I195" s="25" t="inlineStr">
        <is>
          <t>P1</t>
        </is>
      </c>
      <c r="J195" s="25" t="inlineStr">
        <is>
          <t>Negative</t>
        </is>
      </c>
      <c r="K195" s="25" t="inlineStr">
        <is>
          <t>Integration</t>
        </is>
      </c>
      <c r="L195" s="26" t="inlineStr">
        <is>
          <t>Pass</t>
        </is>
      </c>
      <c r="M195" s="26" t="inlineStr">
        <is>
          <t>Latency &gt; 300 ms budget: 1500 JOD → Reject (FailClosed ≥1000); 100 JOD P2P → Allow with fallback flag (FailOpen ≤200) queued for post-review; 500 Remittance → Hold (default FailClosed); latencies 317/305 ms; fallbacks audited.</t>
        </is>
      </c>
      <c r="N195" s="26" t="inlineStr">
        <is>
          <t>Claude (automated test suite)</t>
        </is>
      </c>
      <c r="O195" s="27" t="n">
        <v>46310</v>
      </c>
      <c r="P195" s="26" t="n"/>
      <c r="Q195" s="26" t="inlineStr">
        <is>
          <t>Automated: RealtimeTests.Fallback_policies</t>
        </is>
      </c>
    </row>
    <row r="196" ht="15" customHeight="1" s="15">
      <c r="A196" s="25" t="inlineStr">
        <is>
          <t>TC-RTD-005</t>
        </is>
      </c>
      <c r="B196" s="25" t="inlineStr">
        <is>
          <t>Real-time Decisioning</t>
        </is>
      </c>
      <c r="C196" s="25" t="inlineStr">
        <is>
          <t>§22</t>
        </is>
      </c>
      <c r="D196" s="25" t="inlineStr">
        <is>
          <t>Fail-open on timeout</t>
        </is>
      </c>
      <c r="E196" s="25" t="inlineStr">
        <is>
          <t>Config fail-open for small P2P</t>
        </is>
      </c>
      <c r="F196" s="25" t="inlineStr">
        <is>
          <t>1. Simulate timeout</t>
        </is>
      </c>
      <c r="G196" s="25" t="inlineStr">
        <is>
          <t>—</t>
        </is>
      </c>
      <c r="H196" s="25" t="inlineStr">
        <is>
          <t>Allow with fallback flag; queued for post-review</t>
        </is>
      </c>
      <c r="I196" s="25" t="inlineStr">
        <is>
          <t>P1</t>
        </is>
      </c>
      <c r="J196" s="25" t="inlineStr">
        <is>
          <t>Negative</t>
        </is>
      </c>
      <c r="K196" s="25" t="inlineStr">
        <is>
          <t>Integration</t>
        </is>
      </c>
      <c r="L196" s="26" t="inlineStr">
        <is>
          <t>Pass</t>
        </is>
      </c>
      <c r="M196" s="26" t="inlineStr">
        <is>
          <t>Latency &gt; 300 ms budget: 1500 JOD → Reject (FailClosed ≥1000); 100 JOD P2P → Allow with fallback flag (FailOpen ≤200) queued for post-review; 500 Remittance → Hold (default FailClosed); latencies 317/305 ms; fallbacks audited.</t>
        </is>
      </c>
      <c r="N196" s="26" t="inlineStr">
        <is>
          <t>Claude (automated test suite)</t>
        </is>
      </c>
      <c r="O196" s="27" t="n">
        <v>46310</v>
      </c>
      <c r="P196" s="26" t="n"/>
      <c r="Q196" s="26" t="inlineStr">
        <is>
          <t>Automated: RealtimeTests.Fallback_policies</t>
        </is>
      </c>
    </row>
    <row r="197" ht="15" customHeight="1" s="15">
      <c r="A197" s="25" t="inlineStr">
        <is>
          <t>TC-RTD-006</t>
        </is>
      </c>
      <c r="B197" s="25" t="inlineStr">
        <is>
          <t>Real-time Decisioning</t>
        </is>
      </c>
      <c r="C197" s="25" t="inlineStr">
        <is>
          <t>§22</t>
        </is>
      </c>
      <c r="D197" s="25" t="inlineStr">
        <is>
          <t>Idempotent decide</t>
        </is>
      </c>
      <c r="E197" s="25" t="inlineStr">
        <is>
          <t>Same source txn ID</t>
        </is>
      </c>
      <c r="F197" s="25" t="inlineStr">
        <is>
          <t>1. Call twice</t>
        </is>
      </c>
      <c r="G197" s="25" t="inlineStr">
        <is>
          <t>—</t>
        </is>
      </c>
      <c r="H197" s="25" t="inlineStr">
        <is>
          <t>Same decision ID returned</t>
        </is>
      </c>
      <c r="I197" s="25" t="inlineStr">
        <is>
          <t>P1</t>
        </is>
      </c>
      <c r="J197" s="25" t="inlineStr">
        <is>
          <t>Functional</t>
        </is>
      </c>
      <c r="K197" s="25" t="inlineStr">
        <is>
          <t>API</t>
        </is>
      </c>
      <c r="L197" s="26" t="inlineStr">
        <is>
          <t>Pass</t>
        </is>
      </c>
      <c r="M197" s="26" t="inlineStr">
        <is>
          <t>Same source transaction ID → same decision ID (idempotent=true); same ID with changed amount → 409 conflict (not silently treated as identical).</t>
        </is>
      </c>
      <c r="N197" s="26" t="inlineStr">
        <is>
          <t>Claude (automated test suite)</t>
        </is>
      </c>
      <c r="O197" s="27" t="n">
        <v>46310</v>
      </c>
      <c r="P197" s="26" t="n"/>
      <c r="Q197" s="26" t="inlineStr">
        <is>
          <t>Automated: RealtimeTests.Idempotent_decide</t>
        </is>
      </c>
    </row>
    <row r="198" ht="15" customHeight="1" s="15">
      <c r="A198" s="25" t="inlineStr">
        <is>
          <t>TC-RTD-007</t>
        </is>
      </c>
      <c r="B198" s="25" t="inlineStr">
        <is>
          <t>Real-time Decisioning</t>
        </is>
      </c>
      <c r="C198" s="25" t="inlineStr">
        <is>
          <t>§22</t>
        </is>
      </c>
      <c r="D198" s="25" t="inlineStr">
        <is>
          <t>Hold queue release</t>
        </is>
      </c>
      <c r="E198" s="25" t="inlineStr">
        <is>
          <t>Held txn</t>
        </is>
      </c>
      <c r="F198" s="25" t="inlineStr">
        <is>
          <t>1. Analyst releases</t>
        </is>
      </c>
      <c r="G198" s="25" t="inlineStr">
        <is>
          <t>—</t>
        </is>
      </c>
      <c r="H198" s="25" t="inlineStr">
        <is>
          <t>Release sent to core; audited</t>
        </is>
      </c>
      <c r="I198" s="25" t="inlineStr">
        <is>
          <t>P1</t>
        </is>
      </c>
      <c r="J198" s="25" t="inlineStr">
        <is>
          <t>Functional</t>
        </is>
      </c>
      <c r="K198" s="25" t="inlineStr">
        <is>
          <t>E2E</t>
        </is>
      </c>
      <c r="L198" s="26" t="inlineStr">
        <is>
          <t>Pass</t>
        </is>
      </c>
      <c r="M198" s="26" t="inlineStr">
        <is>
          <t>Held transaction past 30-min SLA escalated exactly once (HoldSlaBreach alert); analyst release sent ReleaseTransaction to core and was audited.</t>
        </is>
      </c>
      <c r="N198" s="26" t="inlineStr">
        <is>
          <t>Claude (automated test suite)</t>
        </is>
      </c>
      <c r="O198" s="27" t="n">
        <v>46310</v>
      </c>
      <c r="P198" s="26" t="n"/>
      <c r="Q198" s="26" t="inlineStr">
        <is>
          <t>Automated: RealtimeTests.Hold_release_and_sla</t>
        </is>
      </c>
    </row>
    <row r="199" ht="15" customHeight="1" s="15">
      <c r="A199" s="25" t="inlineStr">
        <is>
          <t>TC-RTD-008</t>
        </is>
      </c>
      <c r="B199" s="25" t="inlineStr">
        <is>
          <t>Real-time Decisioning</t>
        </is>
      </c>
      <c r="C199" s="25" t="inlineStr">
        <is>
          <t>§22</t>
        </is>
      </c>
      <c r="D199" s="25" t="inlineStr">
        <is>
          <t>Hold SLA breach</t>
        </is>
      </c>
      <c r="E199" s="25" t="inlineStr">
        <is>
          <t>Hold SLA 30 min</t>
        </is>
      </c>
      <c r="F199" s="25" t="inlineStr">
        <is>
          <t>1. Leave held</t>
        </is>
      </c>
      <c r="G199" s="25" t="inlineStr">
        <is>
          <t>—</t>
        </is>
      </c>
      <c r="H199" s="25" t="inlineStr">
        <is>
          <t>Escalation and SLA breach report</t>
        </is>
      </c>
      <c r="I199" s="25" t="inlineStr">
        <is>
          <t>P2</t>
        </is>
      </c>
      <c r="J199" s="25" t="inlineStr">
        <is>
          <t>Functional</t>
        </is>
      </c>
      <c r="K199" s="25" t="inlineStr">
        <is>
          <t>Integration</t>
        </is>
      </c>
      <c r="L199" s="26" t="inlineStr">
        <is>
          <t>Pass</t>
        </is>
      </c>
      <c r="M199" s="26" t="inlineStr">
        <is>
          <t>Held transaction past 30-min SLA escalated exactly once (HoldSlaBreach alert); analyst release sent ReleaseTransaction to core and was audited.</t>
        </is>
      </c>
      <c r="N199" s="26" t="inlineStr">
        <is>
          <t>Claude (automated test suite)</t>
        </is>
      </c>
      <c r="O199" s="27" t="n">
        <v>46310</v>
      </c>
      <c r="P199" s="26" t="n"/>
      <c r="Q199" s="26" t="inlineStr">
        <is>
          <t>Automated: RealtimeTests.Hold_release_and_sla</t>
        </is>
      </c>
    </row>
    <row r="200" ht="15" customHeight="1" s="15">
      <c r="A200" s="25" t="inlineStr">
        <is>
          <t>TC-RTD-009</t>
        </is>
      </c>
      <c r="B200" s="25" t="inlineStr">
        <is>
          <t>Real-time Decisioning</t>
        </is>
      </c>
      <c r="C200" s="25" t="inlineStr">
        <is>
          <t>§22</t>
        </is>
      </c>
      <c r="D200" s="25" t="inlineStr">
        <is>
          <t>Decision linked to later ingested record</t>
        </is>
      </c>
      <c r="E200" s="25" t="inlineStr">
        <is>
          <t>Decision made</t>
        </is>
      </c>
      <c r="F200" s="25" t="inlineStr">
        <is>
          <t>1. Ingest same txn</t>
        </is>
      </c>
      <c r="G200" s="25" t="inlineStr">
        <is>
          <t>—</t>
        </is>
      </c>
      <c r="H200" s="25" t="inlineStr">
        <is>
          <t>Linked by source txn ID</t>
        </is>
      </c>
      <c r="I200" s="25" t="inlineStr">
        <is>
          <t>P2</t>
        </is>
      </c>
      <c r="J200" s="25" t="inlineStr">
        <is>
          <t>Data</t>
        </is>
      </c>
      <c r="K200" s="25" t="inlineStr">
        <is>
          <t>Integration</t>
        </is>
      </c>
      <c r="L200" s="26" t="inlineStr">
        <is>
          <t>Pass</t>
        </is>
      </c>
      <c r="M200" s="26" t="inlineStr">
        <is>
          <t>Ingested transaction RT-T-a9e4764d3499 linked to real-time decision 5c2076ca-305f-41c8-a7ce-fceaee94970b by source transaction ID.</t>
        </is>
      </c>
      <c r="N200" s="26" t="inlineStr">
        <is>
          <t>Claude (automated test suite)</t>
        </is>
      </c>
      <c r="O200" s="27" t="n">
        <v>46310</v>
      </c>
      <c r="P200" s="26" t="n"/>
      <c r="Q200" s="26" t="inlineStr">
        <is>
          <t>Automated: RealtimeTests.Decision_linked_to_ingested</t>
        </is>
      </c>
    </row>
    <row r="201" ht="15" customHeight="1" s="15">
      <c r="A201" s="25" t="inlineStr">
        <is>
          <t>TC-RTD-010</t>
        </is>
      </c>
      <c r="B201" s="25" t="inlineStr">
        <is>
          <t>Real-time Decisioning</t>
        </is>
      </c>
      <c r="C201" s="25" t="inlineStr">
        <is>
          <t>§22</t>
        </is>
      </c>
      <c r="D201" s="25" t="inlineStr">
        <is>
          <t>Only real-time-capable rules evaluated inline</t>
        </is>
      </c>
      <c r="E201" s="25" t="inlineStr">
        <is>
          <t>Mixed rules</t>
        </is>
      </c>
      <c r="F201" s="25" t="inlineStr">
        <is>
          <t>1. Decide</t>
        </is>
      </c>
      <c r="G201" s="25" t="inlineStr">
        <is>
          <t>—</t>
        </is>
      </c>
      <c r="H201" s="25" t="inlineStr">
        <is>
          <t>Heavy rules not executed inline; aggregates used</t>
        </is>
      </c>
      <c r="I201" s="25" t="inlineStr">
        <is>
          <t>P2</t>
        </is>
      </c>
      <c r="J201" s="25" t="inlineStr">
        <is>
          <t>Performance</t>
        </is>
      </c>
      <c r="K201" s="25" t="inlineStr">
        <is>
          <t>Integration</t>
        </is>
      </c>
      <c r="L201" s="26" t="inlineStr">
        <is>
          <t>Pass</t>
        </is>
      </c>
      <c r="M201" s="26" t="inlineStr">
        <is>
          <t>Inline evaluation used only real-time-capable rules (RT_CHE3B6EB91 v1) with pre-computed daily aggregates; batch rule not executed inline; decision Hold (RULE_RT_CHE3B6EB91).</t>
        </is>
      </c>
      <c r="N201" s="26" t="inlineStr">
        <is>
          <t>Claude (automated test suite)</t>
        </is>
      </c>
      <c r="O201" s="27" t="n">
        <v>46310</v>
      </c>
      <c r="P201" s="26" t="n"/>
      <c r="Q201" s="26" t="inlineStr">
        <is>
          <t>Automated: RealtimeTests.Only_realtime_rules_inline</t>
        </is>
      </c>
    </row>
    <row r="202" ht="22.35" customHeight="1" s="15">
      <c r="A202" s="25" t="inlineStr">
        <is>
          <t>TC-R16-001</t>
        </is>
      </c>
      <c r="B202" s="25" t="inlineStr">
        <is>
          <t>Payment Transparency (R.16)</t>
        </is>
      </c>
      <c r="C202" s="25" t="inlineStr">
        <is>
          <t>§23</t>
        </is>
      </c>
      <c r="D202" s="25" t="inlineStr">
        <is>
          <t>Required originator fields per corridor</t>
        </is>
      </c>
      <c r="E202" s="25" t="inlineStr">
        <is>
          <t>Cross-border rule requires name, address, DOB above threshold</t>
        </is>
      </c>
      <c r="F202" s="25" t="inlineStr">
        <is>
          <t>1. Ingest transfer above threshold missing DOB</t>
        </is>
      </c>
      <c r="G202" s="25" t="inlineStr">
        <is>
          <t>—</t>
        </is>
      </c>
      <c r="H202" s="25" t="inlineStr">
        <is>
          <t>Completeness alert</t>
        </is>
      </c>
      <c r="I202" s="25" t="inlineStr">
        <is>
          <t>P1</t>
        </is>
      </c>
      <c r="J202" s="25" t="inlineStr">
        <is>
          <t>Functional</t>
        </is>
      </c>
      <c r="K202" s="25" t="inlineStr">
        <is>
          <t>Integration</t>
        </is>
      </c>
      <c r="L202" s="26" t="inlineStr">
        <is>
          <t>Pass</t>
        </is>
      </c>
      <c r="M202" s="26" t="inlineStr">
        <is>
          <t>Cross-border 2000 USD remittance missing originator DOB → status Incomplete (missing OriginatorDateOfBirth) and R16 completeness alert.</t>
        </is>
      </c>
      <c r="N202" s="26" t="inlineStr">
        <is>
          <t>Claude (automated test suite)</t>
        </is>
      </c>
      <c r="O202" s="27" t="n">
        <v>46310</v>
      </c>
      <c r="P202" s="26" t="n"/>
      <c r="Q202" s="26" t="inlineStr">
        <is>
          <t>Automated: PaymentTransparencyTests.Missing_originator_dob_alert</t>
        </is>
      </c>
    </row>
    <row r="203" ht="22.35" customHeight="1" s="15">
      <c r="A203" s="25" t="inlineStr">
        <is>
          <t>TC-R16-002</t>
        </is>
      </c>
      <c r="B203" s="25" t="inlineStr">
        <is>
          <t>Payment Transparency (R.16)</t>
        </is>
      </c>
      <c r="C203" s="25" t="inlineStr">
        <is>
          <t>§23</t>
        </is>
      </c>
      <c r="D203" s="25" t="inlineStr">
        <is>
          <t>Threshold configurable</t>
        </is>
      </c>
      <c r="E203" s="25" t="inlineStr">
        <is>
          <t>Threshold 1000 USD</t>
        </is>
      </c>
      <c r="F203" s="25" t="inlineStr">
        <is>
          <t>1. Transfer 999 and 1001</t>
        </is>
      </c>
      <c r="G203" s="25" t="inlineStr">
        <is>
          <t>—</t>
        </is>
      </c>
      <c r="H203" s="25" t="inlineStr">
        <is>
          <t>Only 1001 checked for full data</t>
        </is>
      </c>
      <c r="I203" s="25" t="inlineStr">
        <is>
          <t>P2</t>
        </is>
      </c>
      <c r="J203" s="25" t="inlineStr">
        <is>
          <t>Functional</t>
        </is>
      </c>
      <c r="K203" s="25" t="inlineStr">
        <is>
          <t>Unit</t>
        </is>
      </c>
      <c r="L203" s="26" t="inlineStr">
        <is>
          <t>Pass</t>
        </is>
      </c>
      <c r="M203" s="26" t="inlineStr">
        <is>
          <t>999 USD: complete (only always-required fields checked); 1001 USD: missing OriginatorAddress,OriginatorDateOfBirth.</t>
        </is>
      </c>
      <c r="N203" s="26" t="inlineStr">
        <is>
          <t>Claude (automated test suite)</t>
        </is>
      </c>
      <c r="O203" s="27" t="n">
        <v>46310</v>
      </c>
      <c r="P203" s="26" t="n"/>
      <c r="Q203" s="26" t="inlineStr">
        <is>
          <t>Automated: OwnershipCalendarTests.R16_threshold</t>
        </is>
      </c>
    </row>
    <row r="204" ht="22.35" customHeight="1" s="15">
      <c r="A204" s="25" t="inlineStr">
        <is>
          <t>TC-R16-003</t>
        </is>
      </c>
      <c r="B204" s="25" t="inlineStr">
        <is>
          <t>Payment Transparency (R.16)</t>
        </is>
      </c>
      <c r="C204" s="25" t="inlineStr">
        <is>
          <t>§23</t>
        </is>
      </c>
      <c r="D204" s="25" t="inlineStr">
        <is>
          <t>Meaningless values detected</t>
        </is>
      </c>
      <c r="E204" s="25" t="inlineStr">
        <is>
          <t>—</t>
        </is>
      </c>
      <c r="F204" s="25" t="inlineStr">
        <is>
          <t>1. Originator name 'XXX'</t>
        </is>
      </c>
      <c r="G204" s="25" t="inlineStr">
        <is>
          <t>—</t>
        </is>
      </c>
      <c r="H204" s="25" t="inlineStr">
        <is>
          <t>Flagged as incomplete</t>
        </is>
      </c>
      <c r="I204" s="25" t="inlineStr">
        <is>
          <t>P2</t>
        </is>
      </c>
      <c r="J204" s="25" t="inlineStr">
        <is>
          <t>Negative</t>
        </is>
      </c>
      <c r="K204" s="25" t="inlineStr">
        <is>
          <t>Unit</t>
        </is>
      </c>
      <c r="L204" s="26" t="inlineStr">
        <is>
          <t>Pass</t>
        </is>
      </c>
      <c r="M204" s="26" t="inlineStr">
        <is>
          <t>'XXX' and 'N/A' flagged as meaningless; real name accepted.</t>
        </is>
      </c>
      <c r="N204" s="26" t="inlineStr">
        <is>
          <t>Claude (automated test suite)</t>
        </is>
      </c>
      <c r="O204" s="27" t="n">
        <v>46310</v>
      </c>
      <c r="P204" s="26" t="n"/>
      <c r="Q204" s="26" t="inlineStr">
        <is>
          <t>Automated: OwnershipCalendarTests.R16_meaningless</t>
        </is>
      </c>
    </row>
    <row r="205" ht="22.35" customHeight="1" s="15">
      <c r="A205" s="25" t="inlineStr">
        <is>
          <t>TC-R16-004</t>
        </is>
      </c>
      <c r="B205" s="25" t="inlineStr">
        <is>
          <t>Payment Transparency (R.16)</t>
        </is>
      </c>
      <c r="C205" s="25" t="inlineStr">
        <is>
          <t>§23</t>
        </is>
      </c>
      <c r="D205" s="25" t="inlineStr">
        <is>
          <t>Domestic transfer rules</t>
        </is>
      </c>
      <c r="E205" s="25" t="inlineStr">
        <is>
          <t>Domestic config</t>
        </is>
      </c>
      <c r="F205" s="25" t="inlineStr">
        <is>
          <t>1. Domestic transfer missing beneficiary account</t>
        </is>
      </c>
      <c r="G205" s="25" t="inlineStr">
        <is>
          <t>—</t>
        </is>
      </c>
      <c r="H205" s="25" t="inlineStr">
        <is>
          <t>Flagged per domestic rule</t>
        </is>
      </c>
      <c r="I205" s="25" t="inlineStr">
        <is>
          <t>P2</t>
        </is>
      </c>
      <c r="J205" s="25" t="inlineStr">
        <is>
          <t>Functional</t>
        </is>
      </c>
      <c r="K205" s="25" t="inlineStr">
        <is>
          <t>Unit</t>
        </is>
      </c>
      <c r="L205" s="26" t="inlineStr">
        <is>
          <t>Pass</t>
        </is>
      </c>
      <c r="M205" s="26" t="inlineStr">
        <is>
          <t>Domestic transfer evaluated with DOM rule; missing BeneficiaryAccount flagged (cross-border rule would require address instead).</t>
        </is>
      </c>
      <c r="N205" s="26" t="inlineStr">
        <is>
          <t>Claude (automated test suite)</t>
        </is>
      </c>
      <c r="O205" s="27" t="n">
        <v>46310</v>
      </c>
      <c r="P205" s="26" t="n"/>
      <c r="Q205" s="26" t="inlineStr">
        <is>
          <t>Automated: OwnershipCalendarTests.R16_domestic</t>
        </is>
      </c>
    </row>
    <row r="206" ht="22.35" customHeight="1" s="15">
      <c r="A206" s="25" t="inlineStr">
        <is>
          <t>TC-R16-005</t>
        </is>
      </c>
      <c r="B206" s="25" t="inlineStr">
        <is>
          <t>Payment Transparency (R.16)</t>
        </is>
      </c>
      <c r="C206" s="25" t="inlineStr">
        <is>
          <t>§23</t>
        </is>
      </c>
      <c r="D206" s="25" t="inlineStr">
        <is>
          <t>Confirmation-of-payee mismatch stored</t>
        </is>
      </c>
      <c r="E206" s="25" t="inlineStr">
        <is>
          <t>Core provides mismatch</t>
        </is>
      </c>
      <c r="F206" s="25" t="inlineStr">
        <is>
          <t>1. Ingest</t>
        </is>
      </c>
      <c r="G206" s="25" t="inlineStr">
        <is>
          <t>—</t>
        </is>
      </c>
      <c r="H206" s="25" t="inlineStr">
        <is>
          <t>Stored and available as rule input</t>
        </is>
      </c>
      <c r="I206" s="25" t="inlineStr">
        <is>
          <t>P3</t>
        </is>
      </c>
      <c r="J206" s="25" t="inlineStr">
        <is>
          <t>Functional</t>
        </is>
      </c>
      <c r="K206" s="25" t="inlineStr">
        <is>
          <t>Integration</t>
        </is>
      </c>
      <c r="L206" s="26" t="inlineStr">
        <is>
          <t>Pass</t>
        </is>
      </c>
      <c r="M206" s="26" t="inlineStr">
        <is>
          <t>CoP 'MISMATCH', intermediary/ordering institutions and originator/beneficiary fields stored and shown in transaction detail; txn.copResult available as rule input.</t>
        </is>
      </c>
      <c r="N206" s="26" t="inlineStr">
        <is>
          <t>Claude (automated test suite)</t>
        </is>
      </c>
      <c r="O206" s="27" t="n">
        <v>46310</v>
      </c>
      <c r="P206" s="26" t="n"/>
      <c r="Q206" s="26" t="inlineStr">
        <is>
          <t>Automated: PaymentTransparencyTests.Cop_and_chain_data_stored</t>
        </is>
      </c>
    </row>
    <row r="207" ht="22.35" customHeight="1" s="15">
      <c r="A207" s="25" t="inlineStr">
        <is>
          <t>TC-R16-006</t>
        </is>
      </c>
      <c r="B207" s="25" t="inlineStr">
        <is>
          <t>Payment Transparency (R.16)</t>
        </is>
      </c>
      <c r="C207" s="25" t="inlineStr">
        <is>
          <t>§23</t>
        </is>
      </c>
      <c r="D207" s="25" t="inlineStr">
        <is>
          <t>Beneficiary data in transaction detail</t>
        </is>
      </c>
      <c r="E207" s="25" t="inlineStr">
        <is>
          <t>—</t>
        </is>
      </c>
      <c r="F207" s="25" t="inlineStr">
        <is>
          <t>1. Open detail</t>
        </is>
      </c>
      <c r="G207" s="25" t="inlineStr">
        <is>
          <t>—</t>
        </is>
      </c>
      <c r="H207" s="25" t="inlineStr">
        <is>
          <t>Originator/beneficiary fields displayed</t>
        </is>
      </c>
      <c r="I207" s="25" t="inlineStr">
        <is>
          <t>P3</t>
        </is>
      </c>
      <c r="J207" s="25" t="inlineStr">
        <is>
          <t>UI</t>
        </is>
      </c>
      <c r="K207" s="25" t="inlineStr">
        <is>
          <t>E2E</t>
        </is>
      </c>
      <c r="L207" s="26" t="inlineStr">
        <is>
          <t>Pass</t>
        </is>
      </c>
      <c r="M207" s="26" t="inlineStr">
        <is>
          <t>CoP 'MISMATCH', intermediary/ordering institutions and originator/beneficiary fields stored and shown in transaction detail; txn.copResult available as rule input.</t>
        </is>
      </c>
      <c r="N207" s="26" t="inlineStr">
        <is>
          <t>Claude (automated test suite)</t>
        </is>
      </c>
      <c r="O207" s="27" t="n">
        <v>46310</v>
      </c>
      <c r="P207" s="26" t="n"/>
      <c r="Q207" s="26" t="inlineStr">
        <is>
          <t>Automated: PaymentTransparencyTests.Cop_and_chain_data_stored</t>
        </is>
      </c>
    </row>
    <row r="208" ht="22.35" customHeight="1" s="15">
      <c r="A208" s="25" t="inlineStr">
        <is>
          <t>TC-STR-001</t>
        </is>
      </c>
      <c r="B208" s="25" t="inlineStr">
        <is>
          <t>Regulatory Reporting (STR/SAR)</t>
        </is>
      </c>
      <c r="C208" s="25" t="inlineStr">
        <is>
          <t>§19</t>
        </is>
      </c>
      <c r="D208" s="25" t="inlineStr">
        <is>
          <t>Create STR from case only</t>
        </is>
      </c>
      <c r="E208" s="25" t="inlineStr">
        <is>
          <t>Case open</t>
        </is>
      </c>
      <c r="F208" s="25" t="inlineStr">
        <is>
          <t>1. Create report from case
2. try from alert directly</t>
        </is>
      </c>
      <c r="G208" s="25" t="inlineStr">
        <is>
          <t>—</t>
        </is>
      </c>
      <c r="H208" s="25" t="inlineStr">
        <is>
          <t>Created from case; not available from raw alert</t>
        </is>
      </c>
      <c r="I208" s="25" t="inlineStr">
        <is>
          <t>P1</t>
        </is>
      </c>
      <c r="J208" s="25" t="inlineStr">
        <is>
          <t>Functional</t>
        </is>
      </c>
      <c r="K208" s="25" t="inlineStr">
        <is>
          <t>E2E</t>
        </is>
      </c>
      <c r="L208" s="26" t="inlineStr">
        <is>
          <t>Pass</t>
        </is>
      </c>
      <c r="M208" s="26" t="inlineStr">
        <is>
          <t>Report STR-2026-00002 created from case with subject (customer 697, masked identifiers, accounts) and 2 case transactions prefilled; no alert→report endpoint (404).</t>
        </is>
      </c>
      <c r="N208" s="26" t="inlineStr">
        <is>
          <t>Claude (automated test suite)</t>
        </is>
      </c>
      <c r="O208" s="27" t="n">
        <v>46310</v>
      </c>
      <c r="P208" s="26" t="n"/>
      <c r="Q208" s="26" t="inlineStr">
        <is>
          <t>Automated: RegulatoryReportingTests.Create_from_case_prefilled</t>
        </is>
      </c>
    </row>
    <row r="209" ht="22.35" customHeight="1" s="15">
      <c r="A209" s="25" t="inlineStr">
        <is>
          <t>TC-STR-002</t>
        </is>
      </c>
      <c r="B209" s="25" t="inlineStr">
        <is>
          <t>Regulatory Reporting (STR/SAR)</t>
        </is>
      </c>
      <c r="C209" s="25" t="inlineStr">
        <is>
          <t>§19</t>
        </is>
      </c>
      <c r="D209" s="25" t="inlineStr">
        <is>
          <t>STR data populated from case</t>
        </is>
      </c>
      <c r="E209" s="25" t="inlineStr">
        <is>
          <t>Linked subjects and transactions</t>
        </is>
      </c>
      <c r="F209" s="25" t="inlineStr">
        <is>
          <t>1. Create STR</t>
        </is>
      </c>
      <c r="G209" s="25" t="inlineStr">
        <is>
          <t>—</t>
        </is>
      </c>
      <c r="H209" s="25" t="inlineStr">
        <is>
          <t>Subjects, identifiers, selected transactions prefilled</t>
        </is>
      </c>
      <c r="I209" s="25" t="inlineStr">
        <is>
          <t>P1</t>
        </is>
      </c>
      <c r="J209" s="25" t="inlineStr">
        <is>
          <t>Functional</t>
        </is>
      </c>
      <c r="K209" s="25" t="inlineStr">
        <is>
          <t>E2E</t>
        </is>
      </c>
      <c r="L209" s="26" t="inlineStr">
        <is>
          <t>Pass</t>
        </is>
      </c>
      <c r="M209" s="26" t="inlineStr">
        <is>
          <t>Report STR-2026-00002 created from case with subject (customer 697, masked identifiers, accounts) and 2 case transactions prefilled; no alert→report endpoint (404).</t>
        </is>
      </c>
      <c r="N209" s="26" t="inlineStr">
        <is>
          <t>Claude (automated test suite)</t>
        </is>
      </c>
      <c r="O209" s="27" t="n">
        <v>46310</v>
      </c>
      <c r="P209" s="26" t="n"/>
      <c r="Q209" s="26" t="inlineStr">
        <is>
          <t>Automated: RegulatoryReportingTests.Create_from_case_prefilled</t>
        </is>
      </c>
    </row>
    <row r="210" ht="22.35" customHeight="1" s="15">
      <c r="A210" s="25" t="inlineStr">
        <is>
          <t>TC-STR-003</t>
        </is>
      </c>
      <c r="B210" s="25" t="inlineStr">
        <is>
          <t>Regulatory Reporting (STR/SAR)</t>
        </is>
      </c>
      <c r="C210" s="25" t="inlineStr">
        <is>
          <t>§19</t>
        </is>
      </c>
      <c r="D210" s="25" t="inlineStr">
        <is>
          <t>Narrative required</t>
        </is>
      </c>
      <c r="E210" s="25" t="inlineStr">
        <is>
          <t>Draft</t>
        </is>
      </c>
      <c r="F210" s="25" t="inlineStr">
        <is>
          <t>1. Submit for review without narrative</t>
        </is>
      </c>
      <c r="G210" s="25" t="inlineStr">
        <is>
          <t>—</t>
        </is>
      </c>
      <c r="H210" s="25" t="inlineStr">
        <is>
          <t>Validation error</t>
        </is>
      </c>
      <c r="I210" s="25" t="inlineStr">
        <is>
          <t>P1</t>
        </is>
      </c>
      <c r="J210" s="25" t="inlineStr">
        <is>
          <t>Negative</t>
        </is>
      </c>
      <c r="K210" s="25" t="inlineStr">
        <is>
          <t>API</t>
        </is>
      </c>
      <c r="L210" s="26" t="inlineStr">
        <is>
          <t>Pass</t>
        </is>
      </c>
      <c r="M210" s="26" t="inlineStr">
        <is>
          <t>Submit for review without narrative → 400; payload missing mandatory report_indicators fails XSD validation (Error: The element 'report' has invalid child element 'subjects'. List of possible elements expected: 'report_indicators'.); approval blocked (400).</t>
        </is>
      </c>
      <c r="N210" s="26" t="inlineStr">
        <is>
          <t>Claude (automated test suite)</t>
        </is>
      </c>
      <c r="O210" s="27" t="n">
        <v>46310</v>
      </c>
      <c r="P210" s="26" t="n"/>
      <c r="Q210" s="26" t="inlineStr">
        <is>
          <t>Automated: RegulatoryReportingTests.Narrative_and_schema_validation</t>
        </is>
      </c>
    </row>
    <row r="211" ht="22.35" customHeight="1" s="15">
      <c r="A211" s="25" t="inlineStr">
        <is>
          <t>TC-STR-004</t>
        </is>
      </c>
      <c r="B211" s="25" t="inlineStr">
        <is>
          <t>Regulatory Reporting (STR/SAR)</t>
        </is>
      </c>
      <c r="C211" s="25" t="inlineStr">
        <is>
          <t>§19</t>
        </is>
      </c>
      <c r="D211" s="25" t="inlineStr">
        <is>
          <t>Schema validation before approval</t>
        </is>
      </c>
      <c r="E211" s="25" t="inlineStr">
        <is>
          <t>goAML adapter</t>
        </is>
      </c>
      <c r="F211" s="25" t="inlineStr">
        <is>
          <t>1. Validate payload with missing mandatory element</t>
        </is>
      </c>
      <c r="G211" s="25" t="inlineStr">
        <is>
          <t>—</t>
        </is>
      </c>
      <c r="H211" s="25" t="inlineStr">
        <is>
          <t>Validation errors listed; approval blocked</t>
        </is>
      </c>
      <c r="I211" s="25" t="inlineStr">
        <is>
          <t>P1</t>
        </is>
      </c>
      <c r="J211" s="25" t="inlineStr">
        <is>
          <t>Functional</t>
        </is>
      </c>
      <c r="K211" s="25" t="inlineStr">
        <is>
          <t>Integration</t>
        </is>
      </c>
      <c r="L211" s="26" t="inlineStr">
        <is>
          <t>Pass</t>
        </is>
      </c>
      <c r="M211" s="26" t="inlineStr">
        <is>
          <t>Submit for review without narrative → 400; payload missing mandatory report_indicators fails XSD validation (Error: The element 'report' has invalid child element 'subjects'. List of possible elements expected: 'report_indicators'.); approval blocked (400).</t>
        </is>
      </c>
      <c r="N211" s="26" t="inlineStr">
        <is>
          <t>Claude (automated test suite)</t>
        </is>
      </c>
      <c r="O211" s="27" t="n">
        <v>46310</v>
      </c>
      <c r="P211" s="26" t="n"/>
      <c r="Q211" s="26" t="inlineStr">
        <is>
          <t>Automated: RegulatoryReportingTests.Narrative_and_schema_validation</t>
        </is>
      </c>
    </row>
    <row r="212" ht="22.35" customHeight="1" s="15">
      <c r="A212" s="25" t="inlineStr">
        <is>
          <t>TC-STR-005</t>
        </is>
      </c>
      <c r="B212" s="25" t="inlineStr">
        <is>
          <t>Regulatory Reporting (STR/SAR)</t>
        </is>
      </c>
      <c r="C212" s="25" t="inlineStr">
        <is>
          <t>§19</t>
        </is>
      </c>
      <c r="D212" s="25" t="inlineStr">
        <is>
          <t>MLRO approval required</t>
        </is>
      </c>
      <c r="E212" s="25" t="inlineStr">
        <is>
          <t>Under review</t>
        </is>
      </c>
      <c r="F212" s="25" t="inlineStr">
        <is>
          <t>1. Analyst approves</t>
        </is>
      </c>
      <c r="G212" s="25" t="inlineStr">
        <is>
          <t>—</t>
        </is>
      </c>
      <c r="H212" s="25" t="inlineStr">
        <is>
          <t>Rejected; only MLRO role can approve</t>
        </is>
      </c>
      <c r="I212" s="25" t="inlineStr">
        <is>
          <t>P1</t>
        </is>
      </c>
      <c r="J212" s="25" t="inlineStr">
        <is>
          <t>Security</t>
        </is>
      </c>
      <c r="K212" s="25" t="inlineStr">
        <is>
          <t>API</t>
        </is>
      </c>
      <c r="L212" s="26" t="inlineStr">
        <is>
          <t>Pass</t>
        </is>
      </c>
      <c r="M212" s="26" t="inlineStr">
        <is>
          <t>Preparer and analyst cannot approve (403); MLRO approval → Approved; report stays Approved after background jobs (no automatic submission).</t>
        </is>
      </c>
      <c r="N212" s="26" t="inlineStr">
        <is>
          <t>Claude (automated test suite)</t>
        </is>
      </c>
      <c r="O212" s="27" t="n">
        <v>46310</v>
      </c>
      <c r="P212" s="26" t="n"/>
      <c r="Q212" s="26" t="inlineStr">
        <is>
          <t>Automated: RegulatoryReportingTests.Mlro_approval_no_auto_submit</t>
        </is>
      </c>
    </row>
    <row r="213" ht="22.35" customHeight="1" s="15">
      <c r="A213" s="25" t="inlineStr">
        <is>
          <t>TC-STR-006</t>
        </is>
      </c>
      <c r="B213" s="25" t="inlineStr">
        <is>
          <t>Regulatory Reporting (STR/SAR)</t>
        </is>
      </c>
      <c r="C213" s="25" t="inlineStr">
        <is>
          <t>§19</t>
        </is>
      </c>
      <c r="D213" s="25" t="inlineStr">
        <is>
          <t>No auto-submission</t>
        </is>
      </c>
      <c r="E213" s="25" t="inlineStr">
        <is>
          <t>Approved report</t>
        </is>
      </c>
      <c r="F213" s="25" t="inlineStr">
        <is>
          <t>—</t>
        </is>
      </c>
      <c r="G213" s="25" t="inlineStr">
        <is>
          <t>—</t>
        </is>
      </c>
      <c r="H213" s="25" t="inlineStr">
        <is>
          <t>Remains Approved until explicit submit action</t>
        </is>
      </c>
      <c r="I213" s="25" t="inlineStr">
        <is>
          <t>P1</t>
        </is>
      </c>
      <c r="J213" s="25" t="inlineStr">
        <is>
          <t>Functional</t>
        </is>
      </c>
      <c r="K213" s="25" t="inlineStr">
        <is>
          <t>Integration</t>
        </is>
      </c>
      <c r="L213" s="26" t="inlineStr">
        <is>
          <t>Pass</t>
        </is>
      </c>
      <c r="M213" s="26" t="inlineStr">
        <is>
          <t>Preparer and analyst cannot approve (403); MLRO approval → Approved; report stays Approved after background jobs (no automatic submission).</t>
        </is>
      </c>
      <c r="N213" s="26" t="inlineStr">
        <is>
          <t>Claude (automated test suite)</t>
        </is>
      </c>
      <c r="O213" s="27" t="n">
        <v>46310</v>
      </c>
      <c r="P213" s="26" t="n"/>
      <c r="Q213" s="26" t="inlineStr">
        <is>
          <t>Automated: RegulatoryReportingTests.Mlro_approval_no_auto_submit</t>
        </is>
      </c>
    </row>
    <row r="214" ht="22.35" customHeight="1" s="15">
      <c r="A214" s="25" t="inlineStr">
        <is>
          <t>TC-STR-007</t>
        </is>
      </c>
      <c r="B214" s="25" t="inlineStr">
        <is>
          <t>Regulatory Reporting (STR/SAR)</t>
        </is>
      </c>
      <c r="C214" s="25" t="inlineStr">
        <is>
          <t>§19</t>
        </is>
      </c>
      <c r="D214" s="25" t="inlineStr">
        <is>
          <t>Submitted payload immutable</t>
        </is>
      </c>
      <c r="E214" s="25" t="inlineStr">
        <is>
          <t>Submitted</t>
        </is>
      </c>
      <c r="F214" s="25" t="inlineStr">
        <is>
          <t>1. Attempt edit</t>
        </is>
      </c>
      <c r="G214" s="25" t="inlineStr">
        <is>
          <t>—</t>
        </is>
      </c>
      <c r="H214" s="25" t="inlineStr">
        <is>
          <t>Refused; amendment creates new linked report</t>
        </is>
      </c>
      <c r="I214" s="25" t="inlineStr">
        <is>
          <t>P1</t>
        </is>
      </c>
      <c r="J214" s="25" t="inlineStr">
        <is>
          <t>Security</t>
        </is>
      </c>
      <c r="K214" s="25" t="inlineStr">
        <is>
          <t>API</t>
        </is>
      </c>
      <c r="L214" s="26" t="inlineStr">
        <is>
          <t>Pass</t>
        </is>
      </c>
      <c r="M214" s="26" t="inlineStr">
        <is>
          <t>Submitted to sandbox channel (payload SHA-256 37DF188D1970…); edit refused (409) and DB trigger blocks updates; FIU ref FIU-TEST-001 + acknowledgement time stored; amendment STR-2026-00005 links to original without rewriting it.</t>
        </is>
      </c>
      <c r="N214" s="26" t="inlineStr">
        <is>
          <t>Claude (automated test suite)</t>
        </is>
      </c>
      <c r="O214" s="27" t="n">
        <v>46310</v>
      </c>
      <c r="P214" s="26" t="n"/>
      <c r="Q214" s="26" t="inlineStr">
        <is>
          <t>Automated: RegulatoryReportingTests.Submit_immutable_ack_amendment</t>
        </is>
      </c>
    </row>
    <row r="215" ht="22.35" customHeight="1" s="15">
      <c r="A215" s="25" t="inlineStr">
        <is>
          <t>TC-STR-008</t>
        </is>
      </c>
      <c r="B215" s="25" t="inlineStr">
        <is>
          <t>Regulatory Reporting (STR/SAR)</t>
        </is>
      </c>
      <c r="C215" s="25" t="inlineStr">
        <is>
          <t>§19</t>
        </is>
      </c>
      <c r="D215" s="25" t="inlineStr">
        <is>
          <t>FIU reference and acknowledgement stored</t>
        </is>
      </c>
      <c r="E215" s="25" t="inlineStr">
        <is>
          <t>Submitted</t>
        </is>
      </c>
      <c r="F215" s="25" t="inlineStr">
        <is>
          <t>1. Record FIU ref</t>
        </is>
      </c>
      <c r="G215" s="25" t="inlineStr">
        <is>
          <t>—</t>
        </is>
      </c>
      <c r="H215" s="25" t="inlineStr">
        <is>
          <t>Ref, ack, timestamp stored</t>
        </is>
      </c>
      <c r="I215" s="25" t="inlineStr">
        <is>
          <t>P2</t>
        </is>
      </c>
      <c r="J215" s="25" t="inlineStr">
        <is>
          <t>Data</t>
        </is>
      </c>
      <c r="K215" s="25" t="inlineStr">
        <is>
          <t>E2E</t>
        </is>
      </c>
      <c r="L215" s="26" t="inlineStr">
        <is>
          <t>Pass</t>
        </is>
      </c>
      <c r="M215" s="26" t="inlineStr">
        <is>
          <t>Submitted to sandbox channel (payload SHA-256 37DF188D1970…); edit refused (409) and DB trigger blocks updates; FIU ref FIU-TEST-001 + acknowledgement time stored; amendment STR-2026-00005 links to original without rewriting it.</t>
        </is>
      </c>
      <c r="N215" s="26" t="inlineStr">
        <is>
          <t>Claude (automated test suite)</t>
        </is>
      </c>
      <c r="O215" s="27" t="n">
        <v>46310</v>
      </c>
      <c r="P215" s="26" t="n"/>
      <c r="Q215" s="26" t="inlineStr">
        <is>
          <t>Automated: RegulatoryReportingTests.Submit_immutable_ack_amendment</t>
        </is>
      </c>
    </row>
    <row r="216" ht="22.35" customHeight="1" s="15">
      <c r="A216" s="25" t="inlineStr">
        <is>
          <t>TC-STR-009</t>
        </is>
      </c>
      <c r="B216" s="25" t="inlineStr">
        <is>
          <t>Regulatory Reporting (STR/SAR)</t>
        </is>
      </c>
      <c r="C216" s="25" t="inlineStr">
        <is>
          <t>§19</t>
        </is>
      </c>
      <c r="D216" s="25" t="inlineStr">
        <is>
          <t>Manual export path</t>
        </is>
      </c>
      <c r="E216" s="25" t="inlineStr">
        <is>
          <t>No API</t>
        </is>
      </c>
      <c r="F216" s="25" t="inlineStr">
        <is>
          <t>1. Export XML
2. record manual submission</t>
        </is>
      </c>
      <c r="G216" s="25" t="inlineStr">
        <is>
          <t>—</t>
        </is>
      </c>
      <c r="H216" s="25" t="inlineStr">
        <is>
          <t>File hash and submission evidence stored</t>
        </is>
      </c>
      <c r="I216" s="25" t="inlineStr">
        <is>
          <t>P2</t>
        </is>
      </c>
      <c r="J216" s="25" t="inlineStr">
        <is>
          <t>Functional</t>
        </is>
      </c>
      <c r="K216" s="25" t="inlineStr">
        <is>
          <t>E2E</t>
        </is>
      </c>
      <c r="L216" s="26" t="inlineStr">
        <is>
          <t>Pass</t>
        </is>
      </c>
      <c r="M216" s="26" t="inlineStr">
        <is>
          <t>XML exported (UTF-8, Arabic preserved) with SHA-256 header AFA9F4D8CC03…; manual submission recorded with evidence and FIU reference; stored hash matches exported file.</t>
        </is>
      </c>
      <c r="N216" s="26" t="inlineStr">
        <is>
          <t>Claude (automated test suite)</t>
        </is>
      </c>
      <c r="O216" s="27" t="n">
        <v>46310</v>
      </c>
      <c r="P216" s="26" t="n"/>
      <c r="Q216" s="26" t="inlineStr">
        <is>
          <t>Automated: RegulatoryReportingTests.Manual_export_path</t>
        </is>
      </c>
    </row>
    <row r="217" ht="22.35" customHeight="1" s="15">
      <c r="A217" s="25" t="inlineStr">
        <is>
          <t>TC-STR-010</t>
        </is>
      </c>
      <c r="B217" s="25" t="inlineStr">
        <is>
          <t>Regulatory Reporting (STR/SAR)</t>
        </is>
      </c>
      <c r="C217" s="25" t="inlineStr">
        <is>
          <t>§19</t>
        </is>
      </c>
      <c r="D217" s="25" t="inlineStr">
        <is>
          <t>SLA timer from suspicion date</t>
        </is>
      </c>
      <c r="E217" s="25" t="inlineStr">
        <is>
          <t>Deadline configured</t>
        </is>
      </c>
      <c r="F217" s="25" t="inlineStr">
        <is>
          <t>1. Create report
2. wait</t>
        </is>
      </c>
      <c r="G217" s="25" t="inlineStr">
        <is>
          <t>—</t>
        </is>
      </c>
      <c r="H217" s="25" t="inlineStr">
        <is>
          <t>Reminder and overdue escalation per config</t>
        </is>
      </c>
      <c r="I217" s="25" t="inlineStr">
        <is>
          <t>P1</t>
        </is>
      </c>
      <c r="J217" s="25" t="inlineStr">
        <is>
          <t>Functional</t>
        </is>
      </c>
      <c r="K217" s="25" t="inlineStr">
        <is>
          <t>Integration</t>
        </is>
      </c>
      <c r="L217" s="26" t="inlineStr">
        <is>
          <t>Pass</t>
        </is>
      </c>
      <c r="M217" s="26" t="inlineStr">
        <is>
          <t>Due date 2026-10-19T20:59:59.0000000Z = suspicion date + 2 working days from jurisdiction setting STR_FILING_DEADLINE (to be confirmed by compliance); after due → reminder + overdue escalation once.</t>
        </is>
      </c>
      <c r="N217" s="26" t="inlineStr">
        <is>
          <t>Claude (automated test suite)</t>
        </is>
      </c>
      <c r="O217" s="27" t="n">
        <v>46310</v>
      </c>
      <c r="P217" s="26" t="n"/>
      <c r="Q217" s="26" t="inlineStr">
        <is>
          <t>Automated: RegulatoryReportingTests.Sla_from_suspicion_date</t>
        </is>
      </c>
    </row>
    <row r="218" ht="22.35" customHeight="1" s="15">
      <c r="A218" s="25" t="inlineStr">
        <is>
          <t>TC-STR-011</t>
        </is>
      </c>
      <c r="B218" s="25" t="inlineStr">
        <is>
          <t>Regulatory Reporting (STR/SAR)</t>
        </is>
      </c>
      <c r="C218" s="25" t="inlineStr">
        <is>
          <t>§19</t>
        </is>
      </c>
      <c r="D218" s="25" t="inlineStr">
        <is>
          <t>Authority request tracking</t>
        </is>
      </c>
      <c r="E218" s="25" t="inlineStr">
        <is>
          <t>Incoming FIU request</t>
        </is>
      </c>
      <c r="F218" s="25" t="inlineStr">
        <is>
          <t>1. Register request with due date</t>
        </is>
      </c>
      <c r="G218" s="25" t="inlineStr">
        <is>
          <t>—</t>
        </is>
      </c>
      <c r="H218" s="25" t="inlineStr">
        <is>
          <t>Assigned; due tracked; response evidence stored</t>
        </is>
      </c>
      <c r="I218" s="25" t="inlineStr">
        <is>
          <t>P2</t>
        </is>
      </c>
      <c r="J218" s="25" t="inlineStr">
        <is>
          <t>Functional</t>
        </is>
      </c>
      <c r="K218" s="25" t="inlineStr">
        <is>
          <t>E2E</t>
        </is>
      </c>
      <c r="L218" s="26" t="inlineStr">
        <is>
          <t>Pass</t>
        </is>
      </c>
      <c r="M218" s="26" t="inlineStr">
        <is>
          <t>Authority request registered with owner, scope and due date; overdue flagged by job; response and evidence stored (audited); event-triggered reassessment (trigger AuthorityRequest) created.</t>
        </is>
      </c>
      <c r="N218" s="26" t="inlineStr">
        <is>
          <t>Claude (automated test suite)</t>
        </is>
      </c>
      <c r="O218" s="27" t="n">
        <v>46310</v>
      </c>
      <c r="P218" s="26" t="n"/>
      <c r="Q218" s="26" t="inlineStr">
        <is>
          <t>Automated: RegulatoryReportingTests.Authority_requests</t>
        </is>
      </c>
    </row>
    <row r="219" ht="22.35" customHeight="1" s="15">
      <c r="A219" s="25" t="inlineStr">
        <is>
          <t>TC-STR-012</t>
        </is>
      </c>
      <c r="B219" s="25" t="inlineStr">
        <is>
          <t>Regulatory Reporting (STR/SAR)</t>
        </is>
      </c>
      <c r="C219" s="25" t="inlineStr">
        <is>
          <t>§19</t>
        </is>
      </c>
      <c r="D219" s="25" t="inlineStr">
        <is>
          <t>Request triggers reassessment</t>
        </is>
      </c>
      <c r="E219" s="25" t="inlineStr">
        <is>
          <t>Config enabled</t>
        </is>
      </c>
      <c r="F219" s="25" t="inlineStr">
        <is>
          <t>1. Register request on customer</t>
        </is>
      </c>
      <c r="G219" s="25" t="inlineStr">
        <is>
          <t>—</t>
        </is>
      </c>
      <c r="H219" s="25" t="inlineStr">
        <is>
          <t>Event-triggered reassessment</t>
        </is>
      </c>
      <c r="I219" s="25" t="inlineStr">
        <is>
          <t>P3</t>
        </is>
      </c>
      <c r="J219" s="25" t="inlineStr">
        <is>
          <t>Functional</t>
        </is>
      </c>
      <c r="K219" s="25" t="inlineStr">
        <is>
          <t>Integration</t>
        </is>
      </c>
      <c r="L219" s="26" t="inlineStr">
        <is>
          <t>Pass</t>
        </is>
      </c>
      <c r="M219" s="26" t="inlineStr">
        <is>
          <t>Authority request registered with owner, scope and due date; overdue flagged by job; response and evidence stored (audited); event-triggered reassessment (trigger AuthorityRequest) created.</t>
        </is>
      </c>
      <c r="N219" s="26" t="inlineStr">
        <is>
          <t>Claude (automated test suite)</t>
        </is>
      </c>
      <c r="O219" s="27" t="n">
        <v>46310</v>
      </c>
      <c r="P219" s="26" t="n"/>
      <c r="Q219" s="26" t="inlineStr">
        <is>
          <t>Automated: RegulatoryReportingTests.Authority_requests</t>
        </is>
      </c>
    </row>
    <row r="220" ht="22.35" customHeight="1" s="15">
      <c r="A220" s="25" t="inlineStr">
        <is>
          <t>TC-TOF-001</t>
        </is>
      </c>
      <c r="B220" s="25" t="inlineStr">
        <is>
          <t>Tipping-off Controls</t>
        </is>
      </c>
      <c r="C220" s="25" t="inlineStr">
        <is>
          <t>§20</t>
        </is>
      </c>
      <c r="D220" s="25" t="inlineStr">
        <is>
          <t>Restricted case hidden from operations user</t>
        </is>
      </c>
      <c r="E220" s="25" t="inlineStr">
        <is>
          <t>Restricted case on customer</t>
        </is>
      </c>
      <c r="F220" s="25" t="inlineStr">
        <is>
          <t>1. Login as Operations User
2. open customer</t>
        </is>
      </c>
      <c r="G220" s="25" t="inlineStr">
        <is>
          <t>—</t>
        </is>
      </c>
      <c r="H220" s="25" t="inlineStr">
        <is>
          <t>No case tab entries, counts or badges reveal the case</t>
        </is>
      </c>
      <c r="I220" s="25" t="inlineStr">
        <is>
          <t>P1</t>
        </is>
      </c>
      <c r="J220" s="25" t="inlineStr">
        <is>
          <t>Security</t>
        </is>
      </c>
      <c r="K220" s="25" t="inlineStr">
        <is>
          <t>E2E</t>
        </is>
      </c>
      <c r="L220" s="26" t="inlineStr">
        <is>
          <t>Pass</t>
        </is>
      </c>
      <c r="M220" s="26" t="inlineStr">
        <is>
          <t>Operations user: case count 0, no cases tab access (403); investigator search for the restricted case number returns the same empty page as a non-existent number; MLRO count 1 vs unauthorized 0 without any hint.</t>
        </is>
      </c>
      <c r="N220" s="26" t="inlineStr">
        <is>
          <t>Claude (automated test suite)</t>
        </is>
      </c>
      <c r="O220" s="27" t="n">
        <v>46310</v>
      </c>
      <c r="P220" s="26" t="n"/>
      <c r="Q220" s="26" t="inlineStr">
        <is>
          <t>Automated: TippingOffTests.Restricted_case_not_leaked</t>
        </is>
      </c>
    </row>
    <row r="221" ht="15" customHeight="1" s="15">
      <c r="A221" s="25" t="inlineStr">
        <is>
          <t>TC-TOF-002</t>
        </is>
      </c>
      <c r="B221" s="25" t="inlineStr">
        <is>
          <t>Tipping-off Controls</t>
        </is>
      </c>
      <c r="C221" s="25" t="inlineStr">
        <is>
          <t>§20</t>
        </is>
      </c>
      <c r="D221" s="25" t="inlineStr">
        <is>
          <t>Search does not leak restricted cases</t>
        </is>
      </c>
      <c r="E221" s="25" t="inlineStr">
        <is>
          <t>—</t>
        </is>
      </c>
      <c r="F221" s="25" t="inlineStr">
        <is>
          <t>1. Operations User searches case number</t>
        </is>
      </c>
      <c r="G221" s="25" t="inlineStr">
        <is>
          <t>—</t>
        </is>
      </c>
      <c r="H221" s="25" t="inlineStr">
        <is>
          <t>No result; same response as non-existent</t>
        </is>
      </c>
      <c r="I221" s="25" t="inlineStr">
        <is>
          <t>P1</t>
        </is>
      </c>
      <c r="J221" s="25" t="inlineStr">
        <is>
          <t>Security</t>
        </is>
      </c>
      <c r="K221" s="25" t="inlineStr">
        <is>
          <t>API</t>
        </is>
      </c>
      <c r="L221" s="26" t="inlineStr">
        <is>
          <t>Pass</t>
        </is>
      </c>
      <c r="M221" s="26" t="inlineStr">
        <is>
          <t>Operations user: case count 0, no cases tab access (403); investigator search for the restricted case number returns the same empty page as a non-existent number; MLRO count 1 vs unauthorized 0 without any hint.</t>
        </is>
      </c>
      <c r="N221" s="26" t="inlineStr">
        <is>
          <t>Claude (automated test suite)</t>
        </is>
      </c>
      <c r="O221" s="27" t="n">
        <v>46310</v>
      </c>
      <c r="P221" s="26" t="n"/>
      <c r="Q221" s="26" t="inlineStr">
        <is>
          <t>Automated: TippingOffTests.Restricted_case_not_leaked</t>
        </is>
      </c>
    </row>
    <row r="222" ht="22.35" customHeight="1" s="15">
      <c r="A222" s="25" t="inlineStr">
        <is>
          <t>TC-TOF-003</t>
        </is>
      </c>
      <c r="B222" s="25" t="inlineStr">
        <is>
          <t>Tipping-off Controls</t>
        </is>
      </c>
      <c r="C222" s="25" t="inlineStr">
        <is>
          <t>§20</t>
        </is>
      </c>
      <c r="D222" s="25" t="inlineStr">
        <is>
          <t>Counts do not leak</t>
        </is>
      </c>
      <c r="E222" s="25" t="inlineStr">
        <is>
          <t>—</t>
        </is>
      </c>
      <c r="F222" s="25" t="inlineStr">
        <is>
          <t>1. Compare customer alert/case counts for authorized vs unauthorized</t>
        </is>
      </c>
      <c r="G222" s="25" t="inlineStr">
        <is>
          <t>—</t>
        </is>
      </c>
      <c r="H222" s="25" t="inlineStr">
        <is>
          <t>Unauthorized count excludes restricted items without hint</t>
        </is>
      </c>
      <c r="I222" s="25" t="inlineStr">
        <is>
          <t>P1</t>
        </is>
      </c>
      <c r="J222" s="25" t="inlineStr">
        <is>
          <t>Security</t>
        </is>
      </c>
      <c r="K222" s="25" t="inlineStr">
        <is>
          <t>API</t>
        </is>
      </c>
      <c r="L222" s="26" t="inlineStr">
        <is>
          <t>Pass</t>
        </is>
      </c>
      <c r="M222" s="26" t="inlineStr">
        <is>
          <t>Operations user: case count 0, no cases tab access (403); investigator search for the restricted case number returns the same empty page as a non-existent number; MLRO count 1 vs unauthorized 0 without any hint.</t>
        </is>
      </c>
      <c r="N222" s="26" t="inlineStr">
        <is>
          <t>Claude (automated test suite)</t>
        </is>
      </c>
      <c r="O222" s="27" t="n">
        <v>46310</v>
      </c>
      <c r="P222" s="26" t="n"/>
      <c r="Q222" s="26" t="inlineStr">
        <is>
          <t>Automated: TippingOffTests.Restricted_case_not_leaked</t>
        </is>
      </c>
    </row>
    <row r="223" ht="15" customHeight="1" s="15">
      <c r="A223" s="25" t="inlineStr">
        <is>
          <t>TC-TOF-004</t>
        </is>
      </c>
      <c r="B223" s="25" t="inlineStr">
        <is>
          <t>Tipping-off Controls</t>
        </is>
      </c>
      <c r="C223" s="25" t="inlineStr">
        <is>
          <t>§20</t>
        </is>
      </c>
      <c r="D223" s="25" t="inlineStr">
        <is>
          <t>Outbound API neutral codes</t>
        </is>
      </c>
      <c r="E223" s="25" t="inlineStr">
        <is>
          <t>Restricted case triggers restriction</t>
        </is>
      </c>
      <c r="F223" s="25" t="inlineStr">
        <is>
          <t>1. Inspect message to core/CRM</t>
        </is>
      </c>
      <c r="G223" s="25" t="inlineStr">
        <is>
          <t>—</t>
        </is>
      </c>
      <c r="H223" s="25" t="inlineStr">
        <is>
          <t>Only neutral code; no suspicion details</t>
        </is>
      </c>
      <c r="I223" s="25" t="inlineStr">
        <is>
          <t>P1</t>
        </is>
      </c>
      <c r="J223" s="25" t="inlineStr">
        <is>
          <t>Security</t>
        </is>
      </c>
      <c r="K223" s="25" t="inlineStr">
        <is>
          <t>Integration</t>
        </is>
      </c>
      <c r="L223" s="26" t="inlineStr">
        <is>
          <t>Pass</t>
        </is>
      </c>
      <c r="M223" s="26" t="inlineStr">
        <is>
          <t>Core payload: {"command":"FreezeWallet","target":"WALLET:W-3ba8ae55f059","code":"RESTRICTED_CONTACT_COMPLIANCE"} — neutral code only, no suspicion, list or case details.</t>
        </is>
      </c>
      <c r="N223" s="26" t="inlineStr">
        <is>
          <t>Claude (automated test suite)</t>
        </is>
      </c>
      <c r="O223" s="27" t="n">
        <v>46310</v>
      </c>
      <c r="P223" s="26" t="n"/>
      <c r="Q223" s="26" t="inlineStr">
        <is>
          <t>Automated: ComplianceActionTests.Neutral_outbound_codes</t>
        </is>
      </c>
    </row>
    <row r="224" ht="15" customHeight="1" s="15">
      <c r="A224" s="25" t="inlineStr">
        <is>
          <t>TC-TOF-005</t>
        </is>
      </c>
      <c r="B224" s="25" t="inlineStr">
        <is>
          <t>Tipping-off Controls</t>
        </is>
      </c>
      <c r="C224" s="25" t="inlineStr">
        <is>
          <t>§20</t>
        </is>
      </c>
      <c r="D224" s="25" t="inlineStr">
        <is>
          <t>Restricted read audited</t>
        </is>
      </c>
      <c r="E224" s="25" t="inlineStr">
        <is>
          <t>—</t>
        </is>
      </c>
      <c r="F224" s="25" t="inlineStr">
        <is>
          <t>1. Investigator opens restricted case</t>
        </is>
      </c>
      <c r="G224" s="25" t="inlineStr">
        <is>
          <t>—</t>
        </is>
      </c>
      <c r="H224" s="25" t="inlineStr">
        <is>
          <t>Read audit event stored</t>
        </is>
      </c>
      <c r="I224" s="25" t="inlineStr">
        <is>
          <t>P1</t>
        </is>
      </c>
      <c r="J224" s="25" t="inlineStr">
        <is>
          <t>Security</t>
        </is>
      </c>
      <c r="K224" s="25" t="inlineStr">
        <is>
          <t>Integration</t>
        </is>
      </c>
      <c r="L224" s="26" t="inlineStr">
        <is>
          <t>Pass</t>
        </is>
      </c>
      <c r="M224" s="26" t="inlineStr">
        <is>
          <t>Assigned investigator read → RESTRICTED_READ audit; admin read of a case outside their team flagged outsideTeam=true in the access report.</t>
        </is>
      </c>
      <c r="N224" s="26" t="inlineStr">
        <is>
          <t>Claude (automated test suite)</t>
        </is>
      </c>
      <c r="O224" s="27" t="n">
        <v>46310</v>
      </c>
      <c r="P224" s="26" t="n"/>
      <c r="Q224" s="26" t="inlineStr">
        <is>
          <t>Automated: TippingOffTests.Restricted_reads_audited_and_reported</t>
        </is>
      </c>
    </row>
    <row r="225" ht="15" customHeight="1" s="15">
      <c r="A225" s="25" t="inlineStr">
        <is>
          <t>TC-TOF-006</t>
        </is>
      </c>
      <c r="B225" s="25" t="inlineStr">
        <is>
          <t>Tipping-off Controls</t>
        </is>
      </c>
      <c r="C225" s="25" t="inlineStr">
        <is>
          <t>§20</t>
        </is>
      </c>
      <c r="D225" s="25" t="inlineStr">
        <is>
          <t>Access outside team reported</t>
        </is>
      </c>
      <c r="E225" s="25" t="inlineStr">
        <is>
          <t>Admin accesses restricted case</t>
        </is>
      </c>
      <c r="F225" s="25" t="inlineStr">
        <is>
          <t>1. Run access report</t>
        </is>
      </c>
      <c r="G225" s="25" t="inlineStr">
        <is>
          <t>—</t>
        </is>
      </c>
      <c r="H225" s="25" t="inlineStr">
        <is>
          <t>Access flagged</t>
        </is>
      </c>
      <c r="I225" s="25" t="inlineStr">
        <is>
          <t>P2</t>
        </is>
      </c>
      <c r="J225" s="25" t="inlineStr">
        <is>
          <t>Security</t>
        </is>
      </c>
      <c r="K225" s="25" t="inlineStr">
        <is>
          <t>Integration</t>
        </is>
      </c>
      <c r="L225" s="26" t="inlineStr">
        <is>
          <t>Pass</t>
        </is>
      </c>
      <c r="M225" s="26" t="inlineStr">
        <is>
          <t>Assigned investigator read → RESTRICTED_READ audit; admin read of a case outside their team flagged outsideTeam=true in the access report.</t>
        </is>
      </c>
      <c r="N225" s="26" t="inlineStr">
        <is>
          <t>Claude (automated test suite)</t>
        </is>
      </c>
      <c r="O225" s="27" t="n">
        <v>46310</v>
      </c>
      <c r="P225" s="26" t="n"/>
      <c r="Q225" s="26" t="inlineStr">
        <is>
          <t>Automated: TippingOffTests.Restricted_reads_audited_and_reported</t>
        </is>
      </c>
    </row>
    <row r="226" ht="15" customHeight="1" s="15">
      <c r="A226" s="25" t="inlineStr">
        <is>
          <t>TC-TOF-007</t>
        </is>
      </c>
      <c r="B226" s="25" t="inlineStr">
        <is>
          <t>Tipping-off Controls</t>
        </is>
      </c>
      <c r="C226" s="25" t="inlineStr">
        <is>
          <t>§20</t>
        </is>
      </c>
      <c r="D226" s="25" t="inlineStr">
        <is>
          <t>Export excludes restricted data</t>
        </is>
      </c>
      <c r="E226" s="25" t="inlineStr">
        <is>
          <t>—</t>
        </is>
      </c>
      <c r="F226" s="25" t="inlineStr">
        <is>
          <t>1. Export alerts as compliance user without permission</t>
        </is>
      </c>
      <c r="G226" s="25" t="inlineStr">
        <is>
          <t>—</t>
        </is>
      </c>
      <c r="H226" s="25" t="inlineStr">
        <is>
          <t>Restricted rows excluded</t>
        </is>
      </c>
      <c r="I226" s="25" t="inlineStr">
        <is>
          <t>P1</t>
        </is>
      </c>
      <c r="J226" s="25" t="inlineStr">
        <is>
          <t>Security</t>
        </is>
      </c>
      <c r="K226" s="25" t="inlineStr">
        <is>
          <t>Integration</t>
        </is>
      </c>
      <c r="L226" s="26" t="inlineStr">
        <is>
          <t>Pass</t>
        </is>
      </c>
      <c r="M226" s="26" t="inlineStr">
        <is>
          <t>Alerts register/export for officer (no restricted-export permission) excludes the restricted alert; MLRO with permission and includeRestricted sees it.</t>
        </is>
      </c>
      <c r="N226" s="26" t="inlineStr">
        <is>
          <t>Claude (automated test suite)</t>
        </is>
      </c>
      <c r="O226" s="27" t="n">
        <v>46310</v>
      </c>
      <c r="P226" s="26" t="n"/>
      <c r="Q226" s="26" t="inlineStr">
        <is>
          <t>Automated: TippingOffTests.Export_excludes_restricted</t>
        </is>
      </c>
    </row>
    <row r="227" ht="15" customHeight="1" s="15">
      <c r="A227" s="25" t="inlineStr">
        <is>
          <t>TC-TOF-008</t>
        </is>
      </c>
      <c r="B227" s="25" t="inlineStr">
        <is>
          <t>Tipping-off Controls</t>
        </is>
      </c>
      <c r="C227" s="25" t="inlineStr">
        <is>
          <t>§20</t>
        </is>
      </c>
      <c r="D227" s="25" t="inlineStr">
        <is>
          <t>STR existence hidden</t>
        </is>
      </c>
      <c r="E227" s="25" t="inlineStr">
        <is>
          <t>Filed STR</t>
        </is>
      </c>
      <c r="F227" s="25" t="inlineStr">
        <is>
          <t>1. Operations user opens audit/history tab</t>
        </is>
      </c>
      <c r="G227" s="25" t="inlineStr">
        <is>
          <t>—</t>
        </is>
      </c>
      <c r="H227" s="25" t="inlineStr">
        <is>
          <t>No STR events visible</t>
        </is>
      </c>
      <c r="I227" s="25" t="inlineStr">
        <is>
          <t>P1</t>
        </is>
      </c>
      <c r="J227" s="25" t="inlineStr">
        <is>
          <t>Security</t>
        </is>
      </c>
      <c r="K227" s="25" t="inlineStr">
        <is>
          <t>E2E</t>
        </is>
      </c>
      <c r="L227" s="26" t="inlineStr">
        <is>
          <t>Pass</t>
        </is>
      </c>
      <c r="M227" s="26" t="inlineStr">
        <is>
          <t>Operations user's customer history shows no STR events (restricted audit filtered); report and audit endpoints forbidden.</t>
        </is>
      </c>
      <c r="N227" s="26" t="inlineStr">
        <is>
          <t>Claude (automated test suite)</t>
        </is>
      </c>
      <c r="O227" s="27" t="n">
        <v>46310</v>
      </c>
      <c r="P227" s="26" t="n"/>
      <c r="Q227" s="26" t="inlineStr">
        <is>
          <t>Automated: TippingOffTests.Str_events_hidden</t>
        </is>
      </c>
    </row>
    <row r="228" ht="22.35" customHeight="1" s="15">
      <c r="A228" s="25" t="inlineStr">
        <is>
          <t>TC-ENT-001</t>
        </is>
      </c>
      <c r="B228" s="25" t="inlineStr">
        <is>
          <t>Entity Resolution &amp; Device Intelligence</t>
        </is>
      </c>
      <c r="C228" s="25" t="inlineStr">
        <is>
          <t>§25</t>
        </is>
      </c>
      <c r="D228" s="25" t="inlineStr">
        <is>
          <t>Link customers sharing ID token</t>
        </is>
      </c>
      <c r="E228" s="25" t="inlineStr">
        <is>
          <t>Two customers same ID</t>
        </is>
      </c>
      <c r="F228" s="25" t="inlineStr">
        <is>
          <t>1. Run entity resolution</t>
        </is>
      </c>
      <c r="G228" s="25" t="inlineStr">
        <is>
          <t>—</t>
        </is>
      </c>
      <c r="H228" s="25" t="inlineStr">
        <is>
          <t>Link with type, evidence, rule version</t>
        </is>
      </c>
      <c r="I228" s="25" t="inlineStr">
        <is>
          <t>P1</t>
        </is>
      </c>
      <c r="J228" s="25" t="inlineStr">
        <is>
          <t>Functional</t>
        </is>
      </c>
      <c r="K228" s="25" t="inlineStr">
        <is>
          <t>Integration</t>
        </is>
      </c>
      <c r="L228" s="26" t="inlineStr">
        <is>
          <t>Pass</t>
        </is>
      </c>
      <c r="M228" s="26" t="inlineStr">
        <is>
          <t>Link SameIdentity between 579 and 580 with evidence 'Same NationalId (matched by keyed identity token; token not disclosed)', confidence 1.0000, rule version ER-1.0; HMAC token never returned (even to users with unmask permission); plaintext ID absent for users without unmask permission and from reports.</t>
        </is>
      </c>
      <c r="N228" s="26" t="inlineStr">
        <is>
          <t>Claude (automated test suite)</t>
        </is>
      </c>
      <c r="O228" s="27" t="n">
        <v>46310</v>
      </c>
      <c r="P228" s="26" t="n"/>
      <c r="Q228" s="26" t="inlineStr">
        <is>
          <t>Automated: EntityResolutionAgentTests.Same_identity_link</t>
        </is>
      </c>
    </row>
    <row r="229" ht="22.35" customHeight="1" s="15">
      <c r="A229" s="25" t="inlineStr">
        <is>
          <t>TC-ENT-002</t>
        </is>
      </c>
      <c r="B229" s="25" t="inlineStr">
        <is>
          <t>Entity Resolution &amp; Device Intelligence</t>
        </is>
      </c>
      <c r="C229" s="25" t="inlineStr">
        <is>
          <t>§25</t>
        </is>
      </c>
      <c r="D229" s="25" t="inlineStr">
        <is>
          <t>Many customers on one device</t>
        </is>
      </c>
      <c r="E229" s="25" t="inlineStr">
        <is>
          <t>6 customers on device D</t>
        </is>
      </c>
      <c r="F229" s="25" t="inlineStr">
        <is>
          <t>1. Rule ≥5 per device</t>
        </is>
      </c>
      <c r="G229" s="25" t="inlineStr">
        <is>
          <t>—</t>
        </is>
      </c>
      <c r="H229" s="25" t="inlineStr">
        <is>
          <t>Alert; evidence lists customers</t>
        </is>
      </c>
      <c r="I229" s="25" t="inlineStr">
        <is>
          <t>P1</t>
        </is>
      </c>
      <c r="J229" s="25" t="inlineStr">
        <is>
          <t>Functional</t>
        </is>
      </c>
      <c r="K229" s="25" t="inlineStr">
        <is>
          <t>Integration</t>
        </is>
      </c>
      <c r="L229" s="26" t="inlineStr">
        <is>
          <t>Pass</t>
        </is>
      </c>
      <c r="M229" s="26" t="inlineStr">
        <is>
          <t>6 customers on device DEV-T-46d8c007c7e3: SharedDevice links stored as signals (confidence 0.6, 'not proof of identity'); shared IP links kept as low-confidence candidates with NAT context; device rule ≥5 customers → alert ALR-202610-000001 listing the customers.</t>
        </is>
      </c>
      <c r="N229" s="26" t="inlineStr">
        <is>
          <t>Claude (automated test suite)</t>
        </is>
      </c>
      <c r="O229" s="27" t="n">
        <v>46310</v>
      </c>
      <c r="P229" s="26" t="n"/>
      <c r="Q229" s="26" t="inlineStr">
        <is>
          <t>Automated: EntityResolutionAgentTests.Shared_device_and_ip</t>
        </is>
      </c>
    </row>
    <row r="230" ht="22.35" customHeight="1" s="15">
      <c r="A230" s="25" t="inlineStr">
        <is>
          <t>TC-ENT-003</t>
        </is>
      </c>
      <c r="B230" s="25" t="inlineStr">
        <is>
          <t>Entity Resolution &amp; Device Intelligence</t>
        </is>
      </c>
      <c r="C230" s="25" t="inlineStr">
        <is>
          <t>§25</t>
        </is>
      </c>
      <c r="D230" s="25" t="inlineStr">
        <is>
          <t>Device data treated as sensitive</t>
        </is>
      </c>
      <c r="E230" s="25" t="inlineStr">
        <is>
          <t>—</t>
        </is>
      </c>
      <c r="F230" s="25" t="inlineStr">
        <is>
          <t>1. View device ID as Operations User</t>
        </is>
      </c>
      <c r="G230" s="25" t="inlineStr">
        <is>
          <t>—</t>
        </is>
      </c>
      <c r="H230" s="25" t="inlineStr">
        <is>
          <t>Masked</t>
        </is>
      </c>
      <c r="I230" s="25" t="inlineStr">
        <is>
          <t>P2</t>
        </is>
      </c>
      <c r="J230" s="25" t="inlineStr">
        <is>
          <t>Security</t>
        </is>
      </c>
      <c r="K230" s="25" t="inlineStr">
        <is>
          <t>E2E</t>
        </is>
      </c>
      <c r="L230" s="26" t="inlineStr">
        <is>
          <t>Pass</t>
        </is>
      </c>
      <c r="M230" s="26" t="inlineStr">
        <is>
          <t>Operations user sees device '****************1234' / IP '*********0.20' masked; manager with devices.unmask sees full value.</t>
        </is>
      </c>
      <c r="N230" s="26" t="inlineStr">
        <is>
          <t>Claude (automated test suite)</t>
        </is>
      </c>
      <c r="O230" s="27" t="n">
        <v>46310</v>
      </c>
      <c r="P230" s="26" t="n"/>
      <c r="Q230" s="26" t="inlineStr">
        <is>
          <t>Automated: EntityResolutionAgentTests.Device_masked</t>
        </is>
      </c>
    </row>
    <row r="231" ht="22.35" customHeight="1" s="15">
      <c r="A231" s="25" t="inlineStr">
        <is>
          <t>TC-ENT-004</t>
        </is>
      </c>
      <c r="B231" s="25" t="inlineStr">
        <is>
          <t>Entity Resolution &amp; Device Intelligence</t>
        </is>
      </c>
      <c r="C231" s="25" t="inlineStr">
        <is>
          <t>§25</t>
        </is>
      </c>
      <c r="D231" s="25" t="inlineStr">
        <is>
          <t>Graph view respects permissions</t>
        </is>
      </c>
      <c r="E231" s="25" t="inlineStr">
        <is>
          <t>Linked restricted customer</t>
        </is>
      </c>
      <c r="F231" s="25" t="inlineStr">
        <is>
          <t>1. Open graph</t>
        </is>
      </c>
      <c r="G231" s="25" t="inlineStr">
        <is>
          <t>—</t>
        </is>
      </c>
      <c r="H231" s="25" t="inlineStr">
        <is>
          <t>Restricted nodes hidden for unauthorized user</t>
        </is>
      </c>
      <c r="I231" s="25" t="inlineStr">
        <is>
          <t>P1</t>
        </is>
      </c>
      <c r="J231" s="25" t="inlineStr">
        <is>
          <t>Security</t>
        </is>
      </c>
      <c r="K231" s="25" t="inlineStr">
        <is>
          <t>E2E</t>
        </is>
      </c>
      <c r="L231" s="26" t="inlineStr">
        <is>
          <t>Pass</t>
        </is>
      </c>
      <c r="M231" s="26" t="inlineStr">
        <is>
          <t>Graph depth request 99 clamped to 3 (configured max 3; node at hop 4 not returned; truncated=false); customer under restricted investigation omitted with all its edges for the investigator (no placeholder).</t>
        </is>
      </c>
      <c r="N231" s="26" t="inlineStr">
        <is>
          <t>Claude (automated test suite)</t>
        </is>
      </c>
      <c r="O231" s="27" t="n">
        <v>46310</v>
      </c>
      <c r="P231" s="26" t="n"/>
      <c r="Q231" s="26" t="inlineStr">
        <is>
          <t>Automated: EntityResolutionAgentTests.Graph_permissions_and_depth</t>
        </is>
      </c>
    </row>
    <row r="232" ht="22.35" customHeight="1" s="15">
      <c r="A232" s="25" t="inlineStr">
        <is>
          <t>TC-ENT-005</t>
        </is>
      </c>
      <c r="B232" s="25" t="inlineStr">
        <is>
          <t>Entity Resolution &amp; Device Intelligence</t>
        </is>
      </c>
      <c r="C232" s="25" t="inlineStr">
        <is>
          <t>§25</t>
        </is>
      </c>
      <c r="D232" s="25" t="inlineStr">
        <is>
          <t>Graph depth limit</t>
        </is>
      </c>
      <c r="E232" s="25" t="inlineStr">
        <is>
          <t>Large network</t>
        </is>
      </c>
      <c r="F232" s="25" t="inlineStr">
        <is>
          <t>1. Expand to depth limit</t>
        </is>
      </c>
      <c r="G232" s="25" t="inlineStr">
        <is>
          <t>—</t>
        </is>
      </c>
      <c r="H232" s="25" t="inlineStr">
        <is>
          <t>Stops at configured depth; performance acceptable</t>
        </is>
      </c>
      <c r="I232" s="25" t="inlineStr">
        <is>
          <t>P3</t>
        </is>
      </c>
      <c r="J232" s="25" t="inlineStr">
        <is>
          <t>Performance</t>
        </is>
      </c>
      <c r="K232" s="25" t="inlineStr">
        <is>
          <t>E2E</t>
        </is>
      </c>
      <c r="L232" s="26" t="inlineStr">
        <is>
          <t>Pass</t>
        </is>
      </c>
      <c r="M232" s="26" t="inlineStr">
        <is>
          <t>Graph depth request 99 clamped to 3 (configured max 3; node at hop 4 not returned; truncated=false); customer under restricted investigation omitted with all its edges for the investigator (no placeholder).</t>
        </is>
      </c>
      <c r="N232" s="26" t="inlineStr">
        <is>
          <t>Claude (automated test suite)</t>
        </is>
      </c>
      <c r="O232" s="27" t="n">
        <v>46310</v>
      </c>
      <c r="P232" s="26" t="n"/>
      <c r="Q232" s="26" t="inlineStr">
        <is>
          <t>Automated: EntityResolutionAgentTests.Graph_permissions_and_depth</t>
        </is>
      </c>
    </row>
    <row r="233" ht="22.35" customHeight="1" s="15">
      <c r="A233" s="25" t="inlineStr">
        <is>
          <t>TC-ENT-006</t>
        </is>
      </c>
      <c r="B233" s="25" t="inlineStr">
        <is>
          <t>Entity Resolution &amp; Device Intelligence</t>
        </is>
      </c>
      <c r="C233" s="25" t="inlineStr">
        <is>
          <t>§25</t>
        </is>
      </c>
      <c r="D233" s="25" t="inlineStr">
        <is>
          <t>Name-similarity link confidence</t>
        </is>
      </c>
      <c r="E233" s="25" t="inlineStr">
        <is>
          <t>Similar names</t>
        </is>
      </c>
      <c r="F233" s="25" t="inlineStr">
        <is>
          <t>1. Run resolution</t>
        </is>
      </c>
      <c r="G233" s="25" t="inlineStr">
        <is>
          <t>—</t>
        </is>
      </c>
      <c r="H233" s="25" t="inlineStr">
        <is>
          <t>Confidence stored; low-confidence links not auto-merged</t>
        </is>
      </c>
      <c r="I233" s="25" t="inlineStr">
        <is>
          <t>P2</t>
        </is>
      </c>
      <c r="J233" s="25" t="inlineStr">
        <is>
          <t>Functional</t>
        </is>
      </c>
      <c r="K233" s="25" t="inlineStr">
        <is>
          <t>Integration</t>
        </is>
      </c>
      <c r="L233" s="26" t="inlineStr">
        <is>
          <t>Pass</t>
        </is>
      </c>
      <c r="M233" s="26" t="inlineStr">
        <is>
          <t>Similar names with same DOB linked as 'Linked' (confidence 0.9833); both customer records remain separate — never auto-merged.</t>
        </is>
      </c>
      <c r="N233" s="26" t="inlineStr">
        <is>
          <t>Claude (automated test suite)</t>
        </is>
      </c>
      <c r="O233" s="27" t="n">
        <v>46310</v>
      </c>
      <c r="P233" s="26" t="n"/>
      <c r="Q233" s="26" t="inlineStr">
        <is>
          <t>Automated: EntityResolutionAgentTests.Name_similarity_not_merged</t>
        </is>
      </c>
    </row>
    <row r="234" ht="15" customHeight="1" s="15">
      <c r="A234" s="25" t="inlineStr">
        <is>
          <t>TC-AGT-001</t>
        </is>
      </c>
      <c r="B234" s="25" t="inlineStr">
        <is>
          <t>Agent &amp; Merchant Risk</t>
        </is>
      </c>
      <c r="C234" s="25" t="inlineStr">
        <is>
          <t>§26</t>
        </is>
      </c>
      <c r="D234" s="25" t="inlineStr">
        <is>
          <t>Agent risk methodology applied</t>
        </is>
      </c>
      <c r="E234" s="25" t="inlineStr">
        <is>
          <t>Agent methodology active</t>
        </is>
      </c>
      <c r="F234" s="25" t="inlineStr">
        <is>
          <t>1. Assess agent</t>
        </is>
      </c>
      <c r="G234" s="25" t="inlineStr">
        <is>
          <t>—</t>
        </is>
      </c>
      <c r="H234" s="25" t="inlineStr">
        <is>
          <t>Agent factors (MCC, location, volume) used</t>
        </is>
      </c>
      <c r="I234" s="25" t="inlineStr">
        <is>
          <t>P1</t>
        </is>
      </c>
      <c r="J234" s="25" t="inlineStr">
        <is>
          <t>Functional</t>
        </is>
      </c>
      <c r="K234" s="25" t="inlineStr">
        <is>
          <t>Integration</t>
        </is>
      </c>
      <c r="L234" s="26" t="inlineStr">
        <is>
          <t>Pass</t>
        </is>
      </c>
      <c r="M234" s="26" t="inlineStr">
        <is>
          <t>Agent assessed with CRA-AGENT v1 using factors AGENT_MCC, AGENT_LOCATION, AGENT_ONBOARDING, AGENT_SCREENING, AGENT_CASHOUT; final Medium (41.43).</t>
        </is>
      </c>
      <c r="N234" s="26" t="inlineStr">
        <is>
          <t>Claude (automated test suite)</t>
        </is>
      </c>
      <c r="O234" s="27" t="n">
        <v>46310</v>
      </c>
      <c r="P234" s="26" t="n"/>
      <c r="Q234" s="26" t="inlineStr">
        <is>
          <t>Automated: EntityResolutionAgentTests.Agent_methodology</t>
        </is>
      </c>
    </row>
    <row r="235" ht="15" customHeight="1" s="15">
      <c r="A235" s="25" t="inlineStr">
        <is>
          <t>TC-AGT-002</t>
        </is>
      </c>
      <c r="B235" s="25" t="inlineStr">
        <is>
          <t>Agent &amp; Merchant Risk</t>
        </is>
      </c>
      <c r="C235" s="25" t="inlineStr">
        <is>
          <t>§26</t>
        </is>
      </c>
      <c r="D235" s="25" t="inlineStr">
        <is>
          <t>Cash-out ratio scenario</t>
        </is>
      </c>
      <c r="E235" s="25" t="inlineStr">
        <is>
          <t>Agent cash-out 95% of volume</t>
        </is>
      </c>
      <c r="F235" s="25" t="inlineStr">
        <is>
          <t>1. Run rule</t>
        </is>
      </c>
      <c r="G235" s="25" t="inlineStr">
        <is>
          <t>—</t>
        </is>
      </c>
      <c r="H235" s="25" t="inlineStr">
        <is>
          <t>Alert on agent</t>
        </is>
      </c>
      <c r="I235" s="25" t="inlineStr">
        <is>
          <t>P2</t>
        </is>
      </c>
      <c r="J235" s="25" t="inlineStr">
        <is>
          <t>Functional</t>
        </is>
      </c>
      <c r="K235" s="25" t="inlineStr">
        <is>
          <t>Unit</t>
        </is>
      </c>
      <c r="L235" s="26" t="inlineStr">
        <is>
          <t>Pass</t>
        </is>
      </c>
      <c r="M235" s="26" t="inlineStr">
        <is>
          <t>Cash-out ratio 95.00% ≥ 90% → alert on agent.</t>
        </is>
      </c>
      <c r="N235" s="26" t="inlineStr">
        <is>
          <t>Claude (automated test suite)</t>
        </is>
      </c>
      <c r="O235" s="27" t="n">
        <v>46310</v>
      </c>
      <c r="P235" s="26" t="n"/>
      <c r="Q235" s="26" t="inlineStr">
        <is>
          <t>Automated: RuleEngineTests.Agent_cash_out_ratio</t>
        </is>
      </c>
    </row>
    <row r="236" ht="15" customHeight="1" s="15">
      <c r="A236" s="25" t="inlineStr">
        <is>
          <t>TC-AGT-003</t>
        </is>
      </c>
      <c r="B236" s="25" t="inlineStr">
        <is>
          <t>Agent &amp; Merchant Risk</t>
        </is>
      </c>
      <c r="C236" s="25" t="inlineStr">
        <is>
          <t>§26</t>
        </is>
      </c>
      <c r="D236" s="25" t="inlineStr">
        <is>
          <t>Many new customers by one agent</t>
        </is>
      </c>
      <c r="E236" s="25" t="inlineStr">
        <is>
          <t>Threshold 50/week</t>
        </is>
      </c>
      <c r="F236" s="25" t="inlineStr">
        <is>
          <t>1. 60 onboardings</t>
        </is>
      </c>
      <c r="G236" s="25" t="inlineStr">
        <is>
          <t>—</t>
        </is>
      </c>
      <c r="H236" s="25" t="inlineStr">
        <is>
          <t>Alert</t>
        </is>
      </c>
      <c r="I236" s="25" t="inlineStr">
        <is>
          <t>P2</t>
        </is>
      </c>
      <c r="J236" s="25" t="inlineStr">
        <is>
          <t>Functional</t>
        </is>
      </c>
      <c r="K236" s="25" t="inlineStr">
        <is>
          <t>Unit</t>
        </is>
      </c>
      <c r="L236" s="26" t="inlineStr">
        <is>
          <t>Pass</t>
        </is>
      </c>
      <c r="M236" s="26" t="inlineStr">
        <is>
          <t>60 onboardings in a week by one agent &gt; threshold 50 → match.</t>
        </is>
      </c>
      <c r="N236" s="26" t="inlineStr">
        <is>
          <t>Claude (automated test suite)</t>
        </is>
      </c>
      <c r="O236" s="27" t="n">
        <v>46310</v>
      </c>
      <c r="P236" s="26" t="n"/>
      <c r="Q236" s="26" t="inlineStr">
        <is>
          <t>Automated: RuleEngineTests.Agent_new_customers</t>
        </is>
      </c>
    </row>
    <row r="237" ht="15" customHeight="1" s="15">
      <c r="A237" s="25" t="inlineStr">
        <is>
          <t>TC-AGT-004</t>
        </is>
      </c>
      <c r="B237" s="25" t="inlineStr">
        <is>
          <t>Agent &amp; Merchant Risk</t>
        </is>
      </c>
      <c r="C237" s="25" t="inlineStr">
        <is>
          <t>§26</t>
        </is>
      </c>
      <c r="D237" s="25" t="inlineStr">
        <is>
          <t>Peer-group comparison operator</t>
        </is>
      </c>
      <c r="E237" s="25" t="inlineStr">
        <is>
          <t>Agent vs region peers</t>
        </is>
      </c>
      <c r="F237" s="25" t="inlineStr">
        <is>
          <t>1. Agent volume 4x peer median</t>
        </is>
      </c>
      <c r="G237" s="25" t="inlineStr">
        <is>
          <t>—</t>
        </is>
      </c>
      <c r="H237" s="25" t="inlineStr">
        <is>
          <t>Match with peer stats in evidence</t>
        </is>
      </c>
      <c r="I237" s="25" t="inlineStr">
        <is>
          <t>P2</t>
        </is>
      </c>
      <c r="J237" s="25" t="inlineStr">
        <is>
          <t>Functional</t>
        </is>
      </c>
      <c r="K237" s="25" t="inlineStr">
        <is>
          <t>Unit</t>
        </is>
      </c>
      <c r="L237" s="26" t="inlineStr">
        <is>
          <t>Pass</t>
        </is>
      </c>
      <c r="M237" s="26" t="inlineStr">
        <is>
          <t>Agent volume 4000 vs peer median 1000 (n=3) = ratio 4 → match with peer stats and period in evidence.</t>
        </is>
      </c>
      <c r="N237" s="26" t="inlineStr">
        <is>
          <t>Claude (automated test suite)</t>
        </is>
      </c>
      <c r="O237" s="27" t="n">
        <v>46310</v>
      </c>
      <c r="P237" s="26" t="n"/>
      <c r="Q237" s="26" t="inlineStr">
        <is>
          <t>Automated: RuleEngineTests.Peer_ratio</t>
        </is>
      </c>
    </row>
    <row r="238" ht="15" customHeight="1" s="15">
      <c r="A238" s="25" t="inlineStr">
        <is>
          <t>TC-AGT-005</t>
        </is>
      </c>
      <c r="B238" s="25" t="inlineStr">
        <is>
          <t>Agent &amp; Merchant Risk</t>
        </is>
      </c>
      <c r="C238" s="25" t="inlineStr">
        <is>
          <t>§26</t>
        </is>
      </c>
      <c r="D238" s="25" t="inlineStr">
        <is>
          <t>Out-of-hours agent activity</t>
        </is>
      </c>
      <c r="E238" s="25" t="inlineStr">
        <is>
          <t>Hours 08–22</t>
        </is>
      </c>
      <c r="F238" s="25" t="inlineStr">
        <is>
          <t>1. Transactions at 03:00 local</t>
        </is>
      </c>
      <c r="G238" s="25" t="inlineStr">
        <is>
          <t>—</t>
        </is>
      </c>
      <c r="H238" s="25" t="inlineStr">
        <is>
          <t>Match</t>
        </is>
      </c>
      <c r="I238" s="25" t="inlineStr">
        <is>
          <t>P3</t>
        </is>
      </c>
      <c r="J238" s="25" t="inlineStr">
        <is>
          <t>Functional</t>
        </is>
      </c>
      <c r="K238" s="25" t="inlineStr">
        <is>
          <t>Unit</t>
        </is>
      </c>
      <c r="L238" s="26" t="inlineStr">
        <is>
          <t>Pass</t>
        </is>
      </c>
      <c r="M238" s="26" t="inlineStr">
        <is>
          <t>03:00 local (00:00 UTC, Asia/Amman) matched; 12:00 local not.</t>
        </is>
      </c>
      <c r="N238" s="26" t="inlineStr">
        <is>
          <t>Claude (automated test suite)</t>
        </is>
      </c>
      <c r="O238" s="27" t="n">
        <v>46310</v>
      </c>
      <c r="P238" s="26" t="n"/>
      <c r="Q238" s="26" t="inlineStr">
        <is>
          <t>Automated: RuleEngineTests.Out_of_hours</t>
        </is>
      </c>
    </row>
    <row r="239" ht="15" customHeight="1" s="15">
      <c r="A239" s="25" t="inlineStr">
        <is>
          <t>TC-CFG-001</t>
        </is>
      </c>
      <c r="B239" s="25" t="inlineStr">
        <is>
          <t>Configuration Integrity</t>
        </is>
      </c>
      <c r="C239" s="25" t="inlineStr">
        <is>
          <t>§27</t>
        </is>
      </c>
      <c r="D239" s="25" t="inlineStr">
        <is>
          <t>Block deactivating field used by active factor</t>
        </is>
      </c>
      <c r="E239" s="25" t="inlineStr">
        <is>
          <t>Factor uses field</t>
        </is>
      </c>
      <c r="F239" s="25" t="inlineStr">
        <is>
          <t>1. Deactivate field</t>
        </is>
      </c>
      <c r="G239" s="25" t="inlineStr">
        <is>
          <t>—</t>
        </is>
      </c>
      <c r="H239" s="25" t="inlineStr">
        <is>
          <t>Blocked with 'where used' list</t>
        </is>
      </c>
      <c r="I239" s="25" t="inlineStr">
        <is>
          <t>P1</t>
        </is>
      </c>
      <c r="J239" s="25" t="inlineStr">
        <is>
          <t>Negative</t>
        </is>
      </c>
      <c r="K239" s="25" t="inlineStr">
        <is>
          <t>Integration</t>
        </is>
      </c>
      <c r="L239" s="26" t="inlineStr">
        <is>
          <t>Pass</t>
        </is>
      </c>
      <c r="M239" s="26" t="inlineStr">
        <is>
          <t>Deactivation blocked (409: Field OCCUPATION is used by active consumers and cannot be deactivated: RiskFactor CRA-STD/OCCUPATION v1 (Approved); Rule R_69DBC7203CE1 v1 (Active)); where-used lists 3 consumers: RiskFactor CRA-STD/OCCUPATION v1 (Approved); RiskFactor CRA-STD/OCCUPATION v2 (Draft); Rule R_69DBC7203CE1 v1 (Active)</t>
        </is>
      </c>
      <c r="N239" s="26" t="inlineStr">
        <is>
          <t>Claude (automated test suite)</t>
        </is>
      </c>
      <c r="O239" s="27" t="n">
        <v>46310</v>
      </c>
      <c r="P239" s="26" t="n"/>
      <c r="Q239" s="26" t="inlineStr">
        <is>
          <t>Automated: ConfigEffectivenessQaTests.Deactivation_blocked_and_where_used</t>
        </is>
      </c>
    </row>
    <row r="240" ht="15" customHeight="1" s="15">
      <c r="A240" s="25" t="inlineStr">
        <is>
          <t>TC-CFG-002</t>
        </is>
      </c>
      <c r="B240" s="25" t="inlineStr">
        <is>
          <t>Configuration Integrity</t>
        </is>
      </c>
      <c r="C240" s="25" t="inlineStr">
        <is>
          <t>§27</t>
        </is>
      </c>
      <c r="D240" s="25" t="inlineStr">
        <is>
          <t>Block removing option used in mapping</t>
        </is>
      </c>
      <c r="E240" s="25" t="inlineStr">
        <is>
          <t>Mapping on option X</t>
        </is>
      </c>
      <c r="F240" s="25" t="inlineStr">
        <is>
          <t>1. Remove X</t>
        </is>
      </c>
      <c r="G240" s="25" t="inlineStr">
        <is>
          <t>—</t>
        </is>
      </c>
      <c r="H240" s="25" t="inlineStr">
        <is>
          <t>Blocked</t>
        </is>
      </c>
      <c r="I240" s="25" t="inlineStr">
        <is>
          <t>P1</t>
        </is>
      </c>
      <c r="J240" s="25" t="inlineStr">
        <is>
          <t>Negative</t>
        </is>
      </c>
      <c r="K240" s="25" t="inlineStr">
        <is>
          <t>Integration</t>
        </is>
      </c>
      <c r="L240" s="26" t="inlineStr">
        <is>
          <t>Pass</t>
        </is>
      </c>
      <c r="M240" s="26" t="inlineStr">
        <is>
          <t>Deactivating option CASH_INTENSIVE used by OCCUPATION factor mapping blocked: Option CASH_INTENSIVE is used by active consumers and cannot be removed: ScoreMapping CRA-STD/OCCUPATION v1</t>
        </is>
      </c>
      <c r="N240" s="26" t="inlineStr">
        <is>
          <t>Claude (automated test suite)</t>
        </is>
      </c>
      <c r="O240" s="27" t="n">
        <v>46310</v>
      </c>
      <c r="P240" s="26" t="n"/>
      <c r="Q240" s="26" t="inlineStr">
        <is>
          <t>Automated: ConfigEffectivenessQaTests.Option_in_mapping_blocked</t>
        </is>
      </c>
    </row>
    <row r="241" ht="15" customHeight="1" s="15">
      <c r="A241" s="25" t="inlineStr">
        <is>
          <t>TC-CFG-003</t>
        </is>
      </c>
      <c r="B241" s="25" t="inlineStr">
        <is>
          <t>Configuration Integrity</t>
        </is>
      </c>
      <c r="C241" s="25" t="inlineStr">
        <is>
          <t>§27</t>
        </is>
      </c>
      <c r="D241" s="25" t="inlineStr">
        <is>
          <t>Block type change used by rule</t>
        </is>
      </c>
      <c r="E241" s="25" t="inlineStr">
        <is>
          <t>Rule uses field</t>
        </is>
      </c>
      <c r="F241" s="25" t="inlineStr">
        <is>
          <t>1. Change type</t>
        </is>
      </c>
      <c r="G241" s="25" t="inlineStr">
        <is>
          <t>—</t>
        </is>
      </c>
      <c r="H241" s="25" t="inlineStr">
        <is>
          <t>Blocked</t>
        </is>
      </c>
      <c r="I241" s="25" t="inlineStr">
        <is>
          <t>P1</t>
        </is>
      </c>
      <c r="J241" s="25" t="inlineStr">
        <is>
          <t>Negative</t>
        </is>
      </c>
      <c r="K241" s="25" t="inlineStr">
        <is>
          <t>Integration</t>
        </is>
      </c>
      <c r="L241" s="26" t="inlineStr">
        <is>
          <t>Pass</t>
        </is>
      </c>
      <c r="M241" s="26" t="inlineStr">
        <is>
          <t>Type change of field used by an active rule blocked: Publish blocked: Type change is used by active consumers: Rule R_8166DCD68C07 v1</t>
        </is>
      </c>
      <c r="N241" s="26" t="inlineStr">
        <is>
          <t>Claude (automated test suite)</t>
        </is>
      </c>
      <c r="O241" s="27" t="n">
        <v>46310</v>
      </c>
      <c r="P241" s="26" t="n"/>
      <c r="Q241" s="26" t="inlineStr">
        <is>
          <t>Automated: ConfigEffectivenessQaTests.Type_change_used_by_rule_blocked</t>
        </is>
      </c>
    </row>
    <row r="242" ht="15" customHeight="1" s="15">
      <c r="A242" s="25" t="inlineStr">
        <is>
          <t>TC-CFG-004</t>
        </is>
      </c>
      <c r="B242" s="25" t="inlineStr">
        <is>
          <t>Configuration Integrity</t>
        </is>
      </c>
      <c r="C242" s="25" t="inlineStr">
        <is>
          <t>§27</t>
        </is>
      </c>
      <c r="D242" s="25" t="inlineStr">
        <is>
          <t>Where-used view</t>
        </is>
      </c>
      <c r="E242" s="25" t="inlineStr">
        <is>
          <t>Field used by 2 factors, 1 rule</t>
        </is>
      </c>
      <c r="F242" s="25" t="inlineStr">
        <is>
          <t>1. Open field</t>
        </is>
      </c>
      <c r="G242" s="25" t="inlineStr">
        <is>
          <t>—</t>
        </is>
      </c>
      <c r="H242" s="25" t="inlineStr">
        <is>
          <t>All 3 consumers listed</t>
        </is>
      </c>
      <c r="I242" s="25" t="inlineStr">
        <is>
          <t>P2</t>
        </is>
      </c>
      <c r="J242" s="25" t="inlineStr">
        <is>
          <t>UI</t>
        </is>
      </c>
      <c r="K242" s="25" t="inlineStr">
        <is>
          <t>E2E</t>
        </is>
      </c>
      <c r="L242" s="26" t="inlineStr">
        <is>
          <t>Pass</t>
        </is>
      </c>
      <c r="M242" s="26" t="inlineStr">
        <is>
          <t>Deactivation blocked (409: Field OCCUPATION is used by active consumers and cannot be deactivated: RiskFactor CRA-STD/OCCUPATION v1 (Approved); Rule R_69DBC7203CE1 v1 (Active)); where-used lists 3 consumers: RiskFactor CRA-STD/OCCUPATION v1 (Approved); RiskFactor CRA-STD/OCCUPATION v2 (Draft); Rule R_69DBC7203CE1 v1 (Active)</t>
        </is>
      </c>
      <c r="N242" s="26" t="inlineStr">
        <is>
          <t>Claude (automated test suite)</t>
        </is>
      </c>
      <c r="O242" s="27" t="n">
        <v>46310</v>
      </c>
      <c r="P242" s="26" t="n"/>
      <c r="Q242" s="26" t="inlineStr">
        <is>
          <t>Automated: ConfigEffectivenessQaTests.Deactivation_blocked_and_where_used</t>
        </is>
      </c>
    </row>
    <row r="243" ht="22.35" customHeight="1" s="15">
      <c r="A243" s="25" t="inlineStr">
        <is>
          <t>TC-EFF-001</t>
        </is>
      </c>
      <c r="B243" s="25" t="inlineStr">
        <is>
          <t>Monitoring Effectiveness &amp; Tuning</t>
        </is>
      </c>
      <c r="C243" s="25" t="inlineStr">
        <is>
          <t>§28</t>
        </is>
      </c>
      <c r="D243" s="25" t="inlineStr">
        <is>
          <t>Rule effectiveness metrics</t>
        </is>
      </c>
      <c r="E243" s="25" t="inlineStr">
        <is>
          <t>Alerts with outcomes</t>
        </is>
      </c>
      <c r="F243" s="25" t="inlineStr">
        <is>
          <t>1. Open rule metrics</t>
        </is>
      </c>
      <c r="G243" s="25" t="inlineStr">
        <is>
          <t>—</t>
        </is>
      </c>
      <c r="H243" s="25" t="inlineStr">
        <is>
          <t>Alert count, alert→case, case→report, FP rate, handling time correct</t>
        </is>
      </c>
      <c r="I243" s="25" t="inlineStr">
        <is>
          <t>P1</t>
        </is>
      </c>
      <c r="J243" s="25" t="inlineStr">
        <is>
          <t>Functional</t>
        </is>
      </c>
      <c r="K243" s="25" t="inlineStr">
        <is>
          <t>Integration</t>
        </is>
      </c>
      <c r="L243" s="26" t="inlineStr">
        <is>
          <t>Pass</t>
        </is>
      </c>
      <c r="M243" s="26" t="inlineStr">
        <is>
          <t>Rule metrics: alerts 4, alert→case 25% (1/4), case→report 0%, FP rate 100% (2 FP / 2 closed), avg handling 0.00 h; definitions: Alert-to-case rate = alerts linked to or converted into a case / operational ale…</t>
        </is>
      </c>
      <c r="N243" s="26" t="inlineStr">
        <is>
          <t>Claude (automated test suite)</t>
        </is>
      </c>
      <c r="O243" s="27" t="n">
        <v>46310</v>
      </c>
      <c r="P243" s="26" t="n"/>
      <c r="Q243" s="26" t="inlineStr">
        <is>
          <t>Automated: ConfigEffectivenessQaTests.Rule_metrics</t>
        </is>
      </c>
    </row>
    <row r="244" ht="22.35" customHeight="1" s="15">
      <c r="A244" s="25" t="inlineStr">
        <is>
          <t>TC-EFF-002</t>
        </is>
      </c>
      <c r="B244" s="25" t="inlineStr">
        <is>
          <t>Monitoring Effectiveness &amp; Tuning</t>
        </is>
      </c>
      <c r="C244" s="25" t="inlineStr">
        <is>
          <t>§28</t>
        </is>
      </c>
      <c r="D244" s="25" t="inlineStr">
        <is>
          <t>Typology coverage matrix</t>
        </is>
      </c>
      <c r="E244" s="25" t="inlineStr">
        <is>
          <t>Typologies mapped</t>
        </is>
      </c>
      <c r="F244" s="25" t="inlineStr">
        <is>
          <t>1. Open coverage</t>
        </is>
      </c>
      <c r="G244" s="25" t="inlineStr">
        <is>
          <t>—</t>
        </is>
      </c>
      <c r="H244" s="25" t="inlineStr">
        <is>
          <t>Uncovered typologies highlighted</t>
        </is>
      </c>
      <c r="I244" s="25" t="inlineStr">
        <is>
          <t>P2</t>
        </is>
      </c>
      <c r="J244" s="25" t="inlineStr">
        <is>
          <t>Functional</t>
        </is>
      </c>
      <c r="K244" s="25" t="inlineStr">
        <is>
          <t>E2E</t>
        </is>
      </c>
      <c r="L244" s="26" t="inlineStr">
        <is>
          <t>Pass</t>
        </is>
      </c>
      <c r="M244" s="26" t="inlineStr">
        <is>
          <t>Coverage matrix: uncovered typologies highlighted → STRUCTURING, RAPID_MOVEMENT, MULE_ACCOUNTS, FUNNEL_ACCOUNTS, AGENT_ABUSE, CIRCULAR_FLOWS, TRADE_BASED</t>
        </is>
      </c>
      <c r="N244" s="26" t="inlineStr">
        <is>
          <t>Claude (automated test suite)</t>
        </is>
      </c>
      <c r="O244" s="27" t="n">
        <v>46310</v>
      </c>
      <c r="P244" s="26" t="n"/>
      <c r="Q244" s="26" t="inlineStr">
        <is>
          <t>Automated: ConfigEffectivenessQaTests.Coverage_matrix</t>
        </is>
      </c>
    </row>
    <row r="245" ht="22.35" customHeight="1" s="15">
      <c r="A245" s="25" t="inlineStr">
        <is>
          <t>TC-EFF-003</t>
        </is>
      </c>
      <c r="B245" s="25" t="inlineStr">
        <is>
          <t>Monitoring Effectiveness &amp; Tuning</t>
        </is>
      </c>
      <c r="C245" s="25" t="inlineStr">
        <is>
          <t>§28</t>
        </is>
      </c>
      <c r="D245" s="25" t="inlineStr">
        <is>
          <t>ATL/BTL test run</t>
        </is>
      </c>
      <c r="E245" s="25" t="inlineStr">
        <is>
          <t>Backtest with lower threshold</t>
        </is>
      </c>
      <c r="F245" s="25" t="inlineStr">
        <is>
          <t>1. Run BTL sample</t>
        </is>
      </c>
      <c r="G245" s="25" t="inlineStr">
        <is>
          <t>—</t>
        </is>
      </c>
      <c r="H245" s="25" t="inlineStr">
        <is>
          <t>Sample of below-threshold events produced for review; results stored</t>
        </is>
      </c>
      <c r="I245" s="25" t="inlineStr">
        <is>
          <t>P2</t>
        </is>
      </c>
      <c r="J245" s="25" t="inlineStr">
        <is>
          <t>Functional</t>
        </is>
      </c>
      <c r="K245" s="25" t="inlineStr">
        <is>
          <t>Integration</t>
        </is>
      </c>
      <c r="L245" s="26" t="inlineStr">
        <is>
          <t>Pass</t>
        </is>
      </c>
      <c r="M245" s="26" t="inlineStr">
        <is>
          <t>BTL run at candidate threshold 700 vs production 1000: current matches 0, candidate matches 12, sample 2035 chars — below-threshold sample stored for review; no operational alerts created.</t>
        </is>
      </c>
      <c r="N245" s="26" t="inlineStr">
        <is>
          <t>Claude (automated test suite)</t>
        </is>
      </c>
      <c r="O245" s="27" t="n">
        <v>46310</v>
      </c>
      <c r="P245" s="26" t="n"/>
      <c r="Q245" s="26" t="inlineStr">
        <is>
          <t>Automated: ConfigEffectivenessQaTests.Btl_sampling</t>
        </is>
      </c>
    </row>
    <row r="246" ht="22.35" customHeight="1" s="15">
      <c r="A246" s="25" t="inlineStr">
        <is>
          <t>TC-EFF-004</t>
        </is>
      </c>
      <c r="B246" s="25" t="inlineStr">
        <is>
          <t>Monitoring Effectiveness &amp; Tuning</t>
        </is>
      </c>
      <c r="C246" s="25" t="inlineStr">
        <is>
          <t>§28</t>
        </is>
      </c>
      <c r="D246" s="25" t="inlineStr">
        <is>
          <t>Rule change requires rationale and evidence</t>
        </is>
      </c>
      <c r="E246" s="25" t="inlineStr">
        <is>
          <t>—</t>
        </is>
      </c>
      <c r="F246" s="25" t="inlineStr">
        <is>
          <t>1. Publish change without rationale</t>
        </is>
      </c>
      <c r="G246" s="25" t="inlineStr">
        <is>
          <t>—</t>
        </is>
      </c>
      <c r="H246" s="25" t="inlineStr">
        <is>
          <t>Blocked</t>
        </is>
      </c>
      <c r="I246" s="25" t="inlineStr">
        <is>
          <t>P2</t>
        </is>
      </c>
      <c r="J246" s="25" t="inlineStr">
        <is>
          <t>Negative</t>
        </is>
      </c>
      <c r="K246" s="25" t="inlineStr">
        <is>
          <t>API</t>
        </is>
      </c>
      <c r="L246" s="26" t="inlineStr">
        <is>
          <t>Pass</t>
        </is>
      </c>
      <c r="M246" s="26" t="inlineStr">
        <is>
          <t>Submission without rationale/test evidence → 400; publish of unapproved change → 409.</t>
        </is>
      </c>
      <c r="N246" s="26" t="inlineStr">
        <is>
          <t>Claude (automated test suite)</t>
        </is>
      </c>
      <c r="O246" s="27" t="n">
        <v>46310</v>
      </c>
      <c r="P246" s="26" t="n"/>
      <c r="Q246" s="26" t="inlineStr">
        <is>
          <t>Automated: ConfigEffectivenessQaTests.Rule_change_requires_rationale</t>
        </is>
      </c>
    </row>
    <row r="247" ht="22.35" customHeight="1" s="15">
      <c r="A247" s="25" t="inlineStr">
        <is>
          <t>TC-EFF-005</t>
        </is>
      </c>
      <c r="B247" s="25" t="inlineStr">
        <is>
          <t>Monitoring Effectiveness &amp; Tuning</t>
        </is>
      </c>
      <c r="C247" s="25" t="inlineStr">
        <is>
          <t>§28</t>
        </is>
      </c>
      <c r="D247" s="25" t="inlineStr">
        <is>
          <t>Data-feed completeness</t>
        </is>
      </c>
      <c r="E247" s="25" t="inlineStr">
        <is>
          <t>Source missing a day</t>
        </is>
      </c>
      <c r="F247" s="25" t="inlineStr">
        <is>
          <t>1. Run completeness check</t>
        </is>
      </c>
      <c r="G247" s="25" t="inlineStr">
        <is>
          <t>—</t>
        </is>
      </c>
      <c r="H247" s="25" t="inlineStr">
        <is>
          <t>Gap reported per source/day</t>
        </is>
      </c>
      <c r="I247" s="25" t="inlineStr">
        <is>
          <t>P1</t>
        </is>
      </c>
      <c r="J247" s="25" t="inlineStr">
        <is>
          <t>Data</t>
        </is>
      </c>
      <c r="K247" s="25" t="inlineStr">
        <is>
          <t>Integration</t>
        </is>
      </c>
      <c r="L247" s="26" t="inlineStr">
        <is>
          <t>Pass</t>
        </is>
      </c>
      <c r="M247" s="26" t="inlineStr">
        <is>
          <t>Completeness check for 07/09/2018: gap reported for daily-feed sources (CORE, WALLET) with zero records.</t>
        </is>
      </c>
      <c r="N247" s="26" t="inlineStr">
        <is>
          <t>Claude (automated test suite)</t>
        </is>
      </c>
      <c r="O247" s="27" t="n">
        <v>46310</v>
      </c>
      <c r="P247" s="26" t="n"/>
      <c r="Q247" s="26" t="inlineStr">
        <is>
          <t>Automated: ConfigEffectivenessQaTests.Feed_completeness_gap</t>
        </is>
      </c>
    </row>
    <row r="248" ht="22.35" customHeight="1" s="15">
      <c r="A248" s="25" t="inlineStr">
        <is>
          <t>TC-EFF-006</t>
        </is>
      </c>
      <c r="B248" s="25" t="inlineStr">
        <is>
          <t>Monitoring Effectiveness &amp; Tuning</t>
        </is>
      </c>
      <c r="C248" s="25" t="inlineStr">
        <is>
          <t>§28</t>
        </is>
      </c>
      <c r="D248" s="25" t="inlineStr">
        <is>
          <t>Validation pack export</t>
        </is>
      </c>
      <c r="E248" s="25" t="inlineStr">
        <is>
          <t>—</t>
        </is>
      </c>
      <c r="F248" s="25" t="inlineStr">
        <is>
          <t>1. Export pack</t>
        </is>
      </c>
      <c r="G248" s="25" t="inlineStr">
        <is>
          <t>—</t>
        </is>
      </c>
      <c r="H248" s="25" t="inlineStr">
        <is>
          <t>Methodology, rules, versions, tests and metrics included</t>
        </is>
      </c>
      <c r="I248" s="25" t="inlineStr">
        <is>
          <t>P3</t>
        </is>
      </c>
      <c r="J248" s="25" t="inlineStr">
        <is>
          <t>Functional</t>
        </is>
      </c>
      <c r="K248" s="25" t="inlineStr">
        <is>
          <t>E2E</t>
        </is>
      </c>
      <c r="L248" s="26" t="inlineStr">
        <is>
          <t>Pass</t>
        </is>
      </c>
      <c r="M248" s="26" t="inlineStr">
        <is>
          <t>Validation pack includes: generatedAt, generatedBy, methodologies, rules, testRuns, tuningRuns, metrics, coverage, metricDefinitions</t>
        </is>
      </c>
      <c r="N248" s="26" t="inlineStr">
        <is>
          <t>Claude (automated test suite)</t>
        </is>
      </c>
      <c r="O248" s="27" t="n">
        <v>46310</v>
      </c>
      <c r="P248" s="26" t="n"/>
      <c r="Q248" s="26" t="inlineStr">
        <is>
          <t>Automated: ConfigEffectivenessQaTests.Validation_pack</t>
        </is>
      </c>
    </row>
    <row r="249" ht="15" customHeight="1" s="15">
      <c r="A249" s="25" t="inlineStr">
        <is>
          <t>TC-QA-001</t>
        </is>
      </c>
      <c r="B249" s="25" t="inlineStr">
        <is>
          <t>Investigation QA</t>
        </is>
      </c>
      <c r="C249" s="25" t="inlineStr">
        <is>
          <t>§29</t>
        </is>
      </c>
      <c r="D249" s="25" t="inlineStr">
        <is>
          <t>QA sampling by configuration</t>
        </is>
      </c>
      <c r="E249" s="25" t="inlineStr">
        <is>
          <t>10% of FP closures</t>
        </is>
      </c>
      <c r="F249" s="25" t="inlineStr">
        <is>
          <t>1. Run sampler</t>
        </is>
      </c>
      <c r="G249" s="25" t="inlineStr">
        <is>
          <t>—</t>
        </is>
      </c>
      <c r="H249" s="25" t="inlineStr">
        <is>
          <t>Correct sample size per stratum</t>
        </is>
      </c>
      <c r="I249" s="25" t="inlineStr">
        <is>
          <t>P2</t>
        </is>
      </c>
      <c r="J249" s="25" t="inlineStr">
        <is>
          <t>Functional</t>
        </is>
      </c>
      <c r="K249" s="25" t="inlineStr">
        <is>
          <t>Integration</t>
        </is>
      </c>
      <c r="L249" s="26" t="inlineStr">
        <is>
          <t>Pass</t>
        </is>
      </c>
      <c r="M249" s="26" t="inlineStr">
        <is>
          <t>Seeded stratified sampling (seed 42) FP_10PCT: population 2 → sample 1 (ceil 10%); QA error with reopen → alert reopened, original FP disposition kept in history; analyst-quality report: officer errors 1/1 (100%)</t>
        </is>
      </c>
      <c r="N249" s="26" t="inlineStr">
        <is>
          <t>Claude (automated test suite)</t>
        </is>
      </c>
      <c r="O249" s="27" t="n">
        <v>46310</v>
      </c>
      <c r="P249" s="26" t="n"/>
      <c r="Q249" s="26" t="inlineStr">
        <is>
          <t>Automated: ConfigEffectivenessQaTests.Qa_sampling_review_and_quality</t>
        </is>
      </c>
    </row>
    <row r="250" ht="15" customHeight="1" s="15">
      <c r="A250" s="25" t="inlineStr">
        <is>
          <t>TC-QA-002</t>
        </is>
      </c>
      <c r="B250" s="25" t="inlineStr">
        <is>
          <t>Investigation QA</t>
        </is>
      </c>
      <c r="C250" s="25" t="inlineStr">
        <is>
          <t>§29</t>
        </is>
      </c>
      <c r="D250" s="25" t="inlineStr">
        <is>
          <t>QA finding reopens alert</t>
        </is>
      </c>
      <c r="E250" s="25" t="inlineStr">
        <is>
          <t>Sampled alert</t>
        </is>
      </c>
      <c r="F250" s="25" t="inlineStr">
        <is>
          <t>1. QA marks error and reopen</t>
        </is>
      </c>
      <c r="G250" s="25" t="inlineStr">
        <is>
          <t>—</t>
        </is>
      </c>
      <c r="H250" s="25" t="inlineStr">
        <is>
          <t>Alert reopened; original disposition kept in history</t>
        </is>
      </c>
      <c r="I250" s="25" t="inlineStr">
        <is>
          <t>P1</t>
        </is>
      </c>
      <c r="J250" s="25" t="inlineStr">
        <is>
          <t>Functional</t>
        </is>
      </c>
      <c r="K250" s="25" t="inlineStr">
        <is>
          <t>E2E</t>
        </is>
      </c>
      <c r="L250" s="26" t="inlineStr">
        <is>
          <t>Pass</t>
        </is>
      </c>
      <c r="M250" s="26" t="inlineStr">
        <is>
          <t>Seeded stratified sampling (seed 42) FP_10PCT: population 2 → sample 1 (ceil 10%); QA error with reopen → alert reopened, original FP disposition kept in history; analyst-quality report: officer errors 1/1 (100%)</t>
        </is>
      </c>
      <c r="N250" s="26" t="inlineStr">
        <is>
          <t>Claude (automated test suite)</t>
        </is>
      </c>
      <c r="O250" s="27" t="n">
        <v>46310</v>
      </c>
      <c r="P250" s="26" t="n"/>
      <c r="Q250" s="26" t="inlineStr">
        <is>
          <t>Automated: ConfigEffectivenessQaTests.Qa_sampling_review_and_quality</t>
        </is>
      </c>
    </row>
    <row r="251" ht="15" customHeight="1" s="15">
      <c r="A251" s="25" t="inlineStr">
        <is>
          <t>TC-QA-003</t>
        </is>
      </c>
      <c r="B251" s="25" t="inlineStr">
        <is>
          <t>Investigation QA</t>
        </is>
      </c>
      <c r="C251" s="25" t="inlineStr">
        <is>
          <t>§29</t>
        </is>
      </c>
      <c r="D251" s="25" t="inlineStr">
        <is>
          <t>Four-eyes on closure for high-risk customer</t>
        </is>
      </c>
      <c r="E251" s="25" t="inlineStr">
        <is>
          <t>Policy configured</t>
        </is>
      </c>
      <c r="F251" s="25" t="inlineStr">
        <is>
          <t>1. Close alert for High customer</t>
        </is>
      </c>
      <c r="G251" s="25" t="inlineStr">
        <is>
          <t>—</t>
        </is>
      </c>
      <c r="H251" s="25" t="inlineStr">
        <is>
          <t>Pending second review</t>
        </is>
      </c>
      <c r="I251" s="25" t="inlineStr">
        <is>
          <t>P1</t>
        </is>
      </c>
      <c r="J251" s="25" t="inlineStr">
        <is>
          <t>Functional</t>
        </is>
      </c>
      <c r="K251" s="25" t="inlineStr">
        <is>
          <t>E2E</t>
        </is>
      </c>
      <c r="L251" s="26" t="inlineStr">
        <is>
          <t>Pass</t>
        </is>
      </c>
      <c r="M251" s="26" t="inlineStr">
        <is>
          <t>High-risk (PEP) customer alert: closure without checklist → 400; with checklist → PendingClosureApproval (HIGH_RISK_CUSTOMER_4EYES).</t>
        </is>
      </c>
      <c r="N251" s="26" t="inlineStr">
        <is>
          <t>Claude (automated test suite)</t>
        </is>
      </c>
      <c r="O251" s="27" t="n">
        <v>46310</v>
      </c>
      <c r="P251" s="26" t="n"/>
      <c r="Q251" s="26" t="inlineStr">
        <is>
          <t>Automated: ConfigEffectivenessQaTests.High_risk_customer_four_eyes_and_checklist</t>
        </is>
      </c>
    </row>
    <row r="252" ht="15" customHeight="1" s="15">
      <c r="A252" s="25" t="inlineStr">
        <is>
          <t>TC-QA-004</t>
        </is>
      </c>
      <c r="B252" s="25" t="inlineStr">
        <is>
          <t>Investigation QA</t>
        </is>
      </c>
      <c r="C252" s="25" t="inlineStr">
        <is>
          <t>§29</t>
        </is>
      </c>
      <c r="D252" s="25" t="inlineStr">
        <is>
          <t>Disposition checklist enforced</t>
        </is>
      </c>
      <c r="E252" s="25" t="inlineStr">
        <is>
          <t>Checklist required</t>
        </is>
      </c>
      <c r="F252" s="25" t="inlineStr">
        <is>
          <t>1. Close without checklist</t>
        </is>
      </c>
      <c r="G252" s="25" t="inlineStr">
        <is>
          <t>—</t>
        </is>
      </c>
      <c r="H252" s="25" t="inlineStr">
        <is>
          <t>Rejected</t>
        </is>
      </c>
      <c r="I252" s="25" t="inlineStr">
        <is>
          <t>P2</t>
        </is>
      </c>
      <c r="J252" s="25" t="inlineStr">
        <is>
          <t>Negative</t>
        </is>
      </c>
      <c r="K252" s="25" t="inlineStr">
        <is>
          <t>API</t>
        </is>
      </c>
      <c r="L252" s="26" t="inlineStr">
        <is>
          <t>Pass</t>
        </is>
      </c>
      <c r="M252" s="26" t="inlineStr">
        <is>
          <t>High-risk (PEP) customer alert: closure without checklist → 400; with checklist → PendingClosureApproval (HIGH_RISK_CUSTOMER_4EYES).</t>
        </is>
      </c>
      <c r="N252" s="26" t="inlineStr">
        <is>
          <t>Claude (automated test suite)</t>
        </is>
      </c>
      <c r="O252" s="27" t="n">
        <v>46310</v>
      </c>
      <c r="P252" s="26" t="n"/>
      <c r="Q252" s="26" t="inlineStr">
        <is>
          <t>Automated: ConfigEffectivenessQaTests.High_risk_customer_four_eyes_and_checklist</t>
        </is>
      </c>
    </row>
    <row r="253" ht="15" customHeight="1" s="15">
      <c r="A253" s="25" t="inlineStr">
        <is>
          <t>TC-QA-005</t>
        </is>
      </c>
      <c r="B253" s="25" t="inlineStr">
        <is>
          <t>Investigation QA</t>
        </is>
      </c>
      <c r="C253" s="25" t="inlineStr">
        <is>
          <t>§29</t>
        </is>
      </c>
      <c r="D253" s="25" t="inlineStr">
        <is>
          <t>Analyst quality report</t>
        </is>
      </c>
      <c r="E253" s="25" t="inlineStr">
        <is>
          <t>QA data exists</t>
        </is>
      </c>
      <c r="F253" s="25" t="inlineStr">
        <is>
          <t>1. Run report</t>
        </is>
      </c>
      <c r="G253" s="25" t="inlineStr">
        <is>
          <t>—</t>
        </is>
      </c>
      <c r="H253" s="25" t="inlineStr">
        <is>
          <t>Error rates per analyst</t>
        </is>
      </c>
      <c r="I253" s="25" t="inlineStr">
        <is>
          <t>P3</t>
        </is>
      </c>
      <c r="J253" s="25" t="inlineStr">
        <is>
          <t>Functional</t>
        </is>
      </c>
      <c r="K253" s="25" t="inlineStr">
        <is>
          <t>E2E</t>
        </is>
      </c>
      <c r="L253" s="26" t="inlineStr">
        <is>
          <t>Pass</t>
        </is>
      </c>
      <c r="M253" s="26" t="inlineStr">
        <is>
          <t>Seeded stratified sampling (seed 42) FP_10PCT: population 2 → sample 1 (ceil 10%); QA error with reopen → alert reopened, original FP disposition kept in history; analyst-quality report: officer errors 1/1 (100%)</t>
        </is>
      </c>
      <c r="N253" s="26" t="inlineStr">
        <is>
          <t>Claude (automated test suite)</t>
        </is>
      </c>
      <c r="O253" s="27" t="n">
        <v>46310</v>
      </c>
      <c r="P253" s="26" t="n"/>
      <c r="Q253" s="26" t="inlineStr">
        <is>
          <t>Automated: ConfigEffectivenessQaTests.Qa_sampling_review_and_quality</t>
        </is>
      </c>
    </row>
    <row r="254" ht="15" customHeight="1" s="15">
      <c r="A254" s="25" t="inlineStr">
        <is>
          <t>TC-RET-001</t>
        </is>
      </c>
      <c r="B254" s="25" t="inlineStr">
        <is>
          <t>Retention &amp; Legal Hold</t>
        </is>
      </c>
      <c r="C254" s="25" t="inlineStr">
        <is>
          <t>§30</t>
        </is>
      </c>
      <c r="D254" s="25" t="inlineStr">
        <is>
          <t>Retention clock from relationship end</t>
        </is>
      </c>
      <c r="E254" s="25" t="inlineStr">
        <is>
          <t>Policy 5 years after exit</t>
        </is>
      </c>
      <c r="F254" s="25" t="inlineStr">
        <is>
          <t>1. Customer exited 2020</t>
        </is>
      </c>
      <c r="G254" s="25" t="inlineStr">
        <is>
          <t>—</t>
        </is>
      </c>
      <c r="H254" s="25" t="inlineStr">
        <is>
          <t>Eligible in dry-run when period ends</t>
        </is>
      </c>
      <c r="I254" s="25" t="inlineStr">
        <is>
          <t>P1</t>
        </is>
      </c>
      <c r="J254" s="25" t="inlineStr">
        <is>
          <t>Functional</t>
        </is>
      </c>
      <c r="K254" s="25" t="inlineStr">
        <is>
          <t>Integration</t>
        </is>
      </c>
      <c r="L254" s="26" t="inlineStr">
        <is>
          <t>Pass</t>
        </is>
      </c>
      <c r="M254" s="26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N254" s="26" t="inlineStr">
        <is>
          <t>Claude (automated test suite)</t>
        </is>
      </c>
      <c r="O254" s="27" t="n">
        <v>46310</v>
      </c>
      <c r="P254" s="26" t="n"/>
      <c r="Q254" s="26" t="inlineStr">
        <is>
          <t>Automated: RetentionJurisdictionTests.Retention_lifecycle</t>
        </is>
      </c>
    </row>
    <row r="255" ht="15" customHeight="1" s="15">
      <c r="A255" s="25" t="inlineStr">
        <is>
          <t>TC-RET-002</t>
        </is>
      </c>
      <c r="B255" s="25" t="inlineStr">
        <is>
          <t>Retention &amp; Legal Hold</t>
        </is>
      </c>
      <c r="C255" s="25" t="inlineStr">
        <is>
          <t>§30</t>
        </is>
      </c>
      <c r="D255" s="25" t="inlineStr">
        <is>
          <t>Legal hold blocks deletion</t>
        </is>
      </c>
      <c r="E255" s="25" t="inlineStr">
        <is>
          <t>Customer linked to open case</t>
        </is>
      </c>
      <c r="F255" s="25" t="inlineStr">
        <is>
          <t>1. Run deletion job</t>
        </is>
      </c>
      <c r="G255" s="25" t="inlineStr">
        <is>
          <t>—</t>
        </is>
      </c>
      <c r="H255" s="25" t="inlineStr">
        <is>
          <t>Skipped; reason Legal hold</t>
        </is>
      </c>
      <c r="I255" s="25" t="inlineStr">
        <is>
          <t>P1</t>
        </is>
      </c>
      <c r="J255" s="25" t="inlineStr">
        <is>
          <t>Functional</t>
        </is>
      </c>
      <c r="K255" s="25" t="inlineStr">
        <is>
          <t>Integration</t>
        </is>
      </c>
      <c r="L255" s="26" t="inlineStr">
        <is>
          <t>Pass</t>
        </is>
      </c>
      <c r="M255" s="26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N255" s="26" t="inlineStr">
        <is>
          <t>Claude (automated test suite)</t>
        </is>
      </c>
      <c r="O255" s="27" t="n">
        <v>46310</v>
      </c>
      <c r="P255" s="26" t="n"/>
      <c r="Q255" s="26" t="inlineStr">
        <is>
          <t>Automated: RetentionJurisdictionTests.Retention_lifecycle</t>
        </is>
      </c>
    </row>
    <row r="256" ht="15" customHeight="1" s="15">
      <c r="A256" s="25" t="inlineStr">
        <is>
          <t>TC-RET-003</t>
        </is>
      </c>
      <c r="B256" s="25" t="inlineStr">
        <is>
          <t>Retention &amp; Legal Hold</t>
        </is>
      </c>
      <c r="C256" s="25" t="inlineStr">
        <is>
          <t>§30</t>
        </is>
      </c>
      <c r="D256" s="25" t="inlineStr">
        <is>
          <t>Hold for filed STR</t>
        </is>
      </c>
      <c r="E256" s="25" t="inlineStr">
        <is>
          <t>STR filed</t>
        </is>
      </c>
      <c r="F256" s="25" t="inlineStr">
        <is>
          <t>1. Run deletion</t>
        </is>
      </c>
      <c r="G256" s="25" t="inlineStr">
        <is>
          <t>—</t>
        </is>
      </c>
      <c r="H256" s="25" t="inlineStr">
        <is>
          <t>Records retained</t>
        </is>
      </c>
      <c r="I256" s="25" t="inlineStr">
        <is>
          <t>P1</t>
        </is>
      </c>
      <c r="J256" s="25" t="inlineStr">
        <is>
          <t>Functional</t>
        </is>
      </c>
      <c r="K256" s="25" t="inlineStr">
        <is>
          <t>Integration</t>
        </is>
      </c>
      <c r="L256" s="26" t="inlineStr">
        <is>
          <t>Pass</t>
        </is>
      </c>
      <c r="M256" s="26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N256" s="26" t="inlineStr">
        <is>
          <t>Claude (automated test suite)</t>
        </is>
      </c>
      <c r="O256" s="27" t="n">
        <v>46310</v>
      </c>
      <c r="P256" s="26" t="n"/>
      <c r="Q256" s="26" t="inlineStr">
        <is>
          <t>Automated: RetentionJurisdictionTests.Retention_lifecycle</t>
        </is>
      </c>
    </row>
    <row r="257" ht="15" customHeight="1" s="15">
      <c r="A257" s="25" t="inlineStr">
        <is>
          <t>TC-RET-004</t>
        </is>
      </c>
      <c r="B257" s="25" t="inlineStr">
        <is>
          <t>Retention &amp; Legal Hold</t>
        </is>
      </c>
      <c r="C257" s="25" t="inlineStr">
        <is>
          <t>§30</t>
        </is>
      </c>
      <c r="D257" s="25" t="inlineStr">
        <is>
          <t>Deletion dry-run report</t>
        </is>
      </c>
      <c r="E257" s="25" t="inlineStr">
        <is>
          <t>—</t>
        </is>
      </c>
      <c r="F257" s="25" t="inlineStr">
        <is>
          <t>1. Run dry-run</t>
        </is>
      </c>
      <c r="G257" s="25" t="inlineStr">
        <is>
          <t>—</t>
        </is>
      </c>
      <c r="H257" s="25" t="inlineStr">
        <is>
          <t>List of records to delete; nothing deleted</t>
        </is>
      </c>
      <c r="I257" s="25" t="inlineStr">
        <is>
          <t>P2</t>
        </is>
      </c>
      <c r="J257" s="25" t="inlineStr">
        <is>
          <t>Functional</t>
        </is>
      </c>
      <c r="K257" s="25" t="inlineStr">
        <is>
          <t>Integration</t>
        </is>
      </c>
      <c r="L257" s="26" t="inlineStr">
        <is>
          <t>Pass</t>
        </is>
      </c>
      <c r="M257" s="26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N257" s="26" t="inlineStr">
        <is>
          <t>Claude (automated test suite)</t>
        </is>
      </c>
      <c r="O257" s="27" t="n">
        <v>46310</v>
      </c>
      <c r="P257" s="26" t="n"/>
      <c r="Q257" s="26" t="inlineStr">
        <is>
          <t>Automated: RetentionJurisdictionTests.Retention_lifecycle</t>
        </is>
      </c>
    </row>
    <row r="258" ht="15" customHeight="1" s="15">
      <c r="A258" s="25" t="inlineStr">
        <is>
          <t>TC-RET-005</t>
        </is>
      </c>
      <c r="B258" s="25" t="inlineStr">
        <is>
          <t>Retention &amp; Legal Hold</t>
        </is>
      </c>
      <c r="C258" s="25" t="inlineStr">
        <is>
          <t>§30</t>
        </is>
      </c>
      <c r="D258" s="25" t="inlineStr">
        <is>
          <t>Deletion requires approval and audit</t>
        </is>
      </c>
      <c r="E258" s="25" t="inlineStr">
        <is>
          <t>Dry-run approved</t>
        </is>
      </c>
      <c r="F258" s="25" t="inlineStr">
        <is>
          <t>1. Execute</t>
        </is>
      </c>
      <c r="G258" s="25" t="inlineStr">
        <is>
          <t>—</t>
        </is>
      </c>
      <c r="H258" s="25" t="inlineStr">
        <is>
          <t>Deleted/anonymised; audit record</t>
        </is>
      </c>
      <c r="I258" s="25" t="inlineStr">
        <is>
          <t>P2</t>
        </is>
      </c>
      <c r="J258" s="25" t="inlineStr">
        <is>
          <t>Security</t>
        </is>
      </c>
      <c r="K258" s="25" t="inlineStr">
        <is>
          <t>Integration</t>
        </is>
      </c>
      <c r="L258" s="26" t="inlineStr">
        <is>
          <t>Pass</t>
        </is>
      </c>
      <c r="M258" s="26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N258" s="26" t="inlineStr">
        <is>
          <t>Claude (automated test suite)</t>
        </is>
      </c>
      <c r="O258" s="27" t="n">
        <v>46310</v>
      </c>
      <c r="P258" s="26" t="n"/>
      <c r="Q258" s="26" t="inlineStr">
        <is>
          <t>Automated: RetentionJurisdictionTests.Retention_lifecycle</t>
        </is>
      </c>
    </row>
    <row r="259" ht="15" customHeight="1" s="15">
      <c r="A259" s="25" t="inlineStr">
        <is>
          <t>TC-RET-006</t>
        </is>
      </c>
      <c r="B259" s="25" t="inlineStr">
        <is>
          <t>Retention &amp; Legal Hold</t>
        </is>
      </c>
      <c r="C259" s="25" t="inlineStr">
        <is>
          <t>§30</t>
        </is>
      </c>
      <c r="D259" s="25" t="inlineStr">
        <is>
          <t>Historical config retrievable</t>
        </is>
      </c>
      <c r="E259" s="25" t="inlineStr">
        <is>
          <t>Old assessment</t>
        </is>
      </c>
      <c r="F259" s="25" t="inlineStr">
        <is>
          <t>1. Retrieve for regulator</t>
        </is>
      </c>
      <c r="G259" s="25" t="inlineStr">
        <is>
          <t>—</t>
        </is>
      </c>
      <c r="H259" s="25" t="inlineStr">
        <is>
          <t>Methodology version and explanation complete</t>
        </is>
      </c>
      <c r="I259" s="25" t="inlineStr">
        <is>
          <t>P1</t>
        </is>
      </c>
      <c r="J259" s="25" t="inlineStr">
        <is>
          <t>Data</t>
        </is>
      </c>
      <c r="K259" s="25" t="inlineStr">
        <is>
          <t>E2E</t>
        </is>
      </c>
      <c r="L259" s="26" t="inlineStr">
        <is>
          <t>Pass</t>
        </is>
      </c>
      <c r="M259" s="26" t="inlineStr">
        <is>
          <t>Auditor retrieved assessment 38 with methodology CRA-STD v1, full factor breakdown, explanation and immutable config snapshot.</t>
        </is>
      </c>
      <c r="N259" s="26" t="inlineStr">
        <is>
          <t>Claude (automated test suite)</t>
        </is>
      </c>
      <c r="O259" s="27" t="n">
        <v>46310</v>
      </c>
      <c r="P259" s="26" t="n"/>
      <c r="Q259" s="26" t="inlineStr">
        <is>
          <t>Automated: RetentionJurisdictionTests.Historical_assessment_retrievable</t>
        </is>
      </c>
    </row>
    <row r="260" ht="15" customHeight="1" s="15">
      <c r="A260" s="25" t="inlineStr">
        <is>
          <t>TC-SEC-001</t>
        </is>
      </c>
      <c r="B260" s="25" t="inlineStr">
        <is>
          <t>Security &amp; Audit</t>
        </is>
      </c>
      <c r="C260" s="25" t="inlineStr">
        <is>
          <t>§13</t>
        </is>
      </c>
      <c r="D260" s="25" t="inlineStr">
        <is>
          <t>Unauthenticated access rejected</t>
        </is>
      </c>
      <c r="E260" s="25" t="inlineStr">
        <is>
          <t>—</t>
        </is>
      </c>
      <c r="F260" s="25" t="inlineStr">
        <is>
          <t>1. Call protected API without token</t>
        </is>
      </c>
      <c r="G260" s="25" t="inlineStr">
        <is>
          <t>—</t>
        </is>
      </c>
      <c r="H260" s="25" t="inlineStr">
        <is>
          <t>HTTP 401</t>
        </is>
      </c>
      <c r="I260" s="25" t="inlineStr">
        <is>
          <t>P1</t>
        </is>
      </c>
      <c r="J260" s="25" t="inlineStr">
        <is>
          <t>Security</t>
        </is>
      </c>
      <c r="K260" s="25" t="inlineStr">
        <is>
          <t>API</t>
        </is>
      </c>
      <c r="L260" s="26" t="inlineStr">
        <is>
          <t>Pass</t>
        </is>
      </c>
      <c r="M260" s="26" t="inlineStr">
        <is>
          <t>No token → 401 on protected endpoints including POST /api/integrations/CORE/transactions; wrong client secret → 401.</t>
        </is>
      </c>
      <c r="N260" s="26" t="inlineStr">
        <is>
          <t>Claude (automated test suite)</t>
        </is>
      </c>
      <c r="O260" s="27" t="n">
        <v>46310</v>
      </c>
      <c r="P260" s="26" t="n"/>
      <c r="Q260" s="26" t="inlineStr">
        <is>
          <t>Automated: SecurityApiTests.Unauthenticated_rejected</t>
        </is>
      </c>
    </row>
    <row r="261" ht="15" customHeight="1" s="15">
      <c r="A261" s="25" t="inlineStr">
        <is>
          <t>TC-SEC-002</t>
        </is>
      </c>
      <c r="B261" s="25" t="inlineStr">
        <is>
          <t>Security &amp; Audit</t>
        </is>
      </c>
      <c r="C261" s="25" t="inlineStr">
        <is>
          <t>§13</t>
        </is>
      </c>
      <c r="D261" s="25" t="inlineStr">
        <is>
          <t>Authorization on every endpoint</t>
        </is>
      </c>
      <c r="E261" s="25" t="inlineStr">
        <is>
          <t>Endpoint inventory</t>
        </is>
      </c>
      <c r="F261" s="25" t="inlineStr">
        <is>
          <t>1. Automated test calls each endpoint as each role</t>
        </is>
      </c>
      <c r="G261" s="25" t="inlineStr">
        <is>
          <t>—</t>
        </is>
      </c>
      <c r="H261" s="25" t="inlineStr">
        <is>
          <t>Matches permission matrix; no unexpected 200</t>
        </is>
      </c>
      <c r="I261" s="25" t="inlineStr">
        <is>
          <t>P1</t>
        </is>
      </c>
      <c r="J261" s="25" t="inlineStr">
        <is>
          <t>Security</t>
        </is>
      </c>
      <c r="K261" s="25" t="inlineStr">
        <is>
          <t>API</t>
        </is>
      </c>
      <c r="L261" s="26" t="inlineStr">
        <is>
          <t>Pass</t>
        </is>
      </c>
      <c r="M261" s="26" t="inlineStr">
        <is>
          <t>Endpoint inventory: 237 permission-protected endpoints; 644 calls by roles lacking the permission (ops, auditor, investigator, admin) all returned 403; no unexpected 200.</t>
        </is>
      </c>
      <c r="N261" s="26" t="inlineStr">
        <is>
          <t>Claude (automated test suite)</t>
        </is>
      </c>
      <c r="O261" s="27" t="n">
        <v>46310</v>
      </c>
      <c r="P261" s="26" t="n"/>
      <c r="Q261" s="26" t="inlineStr">
        <is>
          <t>Automated: SecurityApiTests.Permission_matrix_enforced_on_every_endpoint</t>
        </is>
      </c>
    </row>
    <row r="262" ht="15" customHeight="1" s="15">
      <c r="A262" s="25" t="inlineStr">
        <is>
          <t>TC-SEC-003</t>
        </is>
      </c>
      <c r="B262" s="25" t="inlineStr">
        <is>
          <t>Security &amp; Audit</t>
        </is>
      </c>
      <c r="C262" s="25" t="inlineStr">
        <is>
          <t>§13</t>
        </is>
      </c>
      <c r="D262" s="25" t="inlineStr">
        <is>
          <t>Auditor read-only</t>
        </is>
      </c>
      <c r="E262" s="25" t="inlineStr">
        <is>
          <t>Auditor role</t>
        </is>
      </c>
      <c r="F262" s="25" t="inlineStr">
        <is>
          <t>1. Attempt any update</t>
        </is>
      </c>
      <c r="G262" s="25" t="inlineStr">
        <is>
          <t>—</t>
        </is>
      </c>
      <c r="H262" s="25" t="inlineStr">
        <is>
          <t>HTTP 403</t>
        </is>
      </c>
      <c r="I262" s="25" t="inlineStr">
        <is>
          <t>P1</t>
        </is>
      </c>
      <c r="J262" s="25" t="inlineStr">
        <is>
          <t>Security</t>
        </is>
      </c>
      <c r="K262" s="25" t="inlineStr">
        <is>
          <t>API</t>
        </is>
      </c>
      <c r="L262" s="26" t="inlineStr">
        <is>
          <t>Pass</t>
        </is>
      </c>
      <c r="M262" s="26" t="inlineStr">
        <is>
          <t>Auditor can read (GET 200) but every mutation attempted (customer create, settings, case create) → 403.</t>
        </is>
      </c>
      <c r="N262" s="26" t="inlineStr">
        <is>
          <t>Claude (automated test suite)</t>
        </is>
      </c>
      <c r="O262" s="27" t="n">
        <v>46310</v>
      </c>
      <c r="P262" s="26" t="n"/>
      <c r="Q262" s="26" t="inlineStr">
        <is>
          <t>Automated: SecurityApiTests.Auditor_read_only</t>
        </is>
      </c>
    </row>
    <row r="263" ht="15" customHeight="1" s="15">
      <c r="A263" s="25" t="inlineStr">
        <is>
          <t>TC-SEC-004</t>
        </is>
      </c>
      <c r="B263" s="25" t="inlineStr">
        <is>
          <t>Security &amp; Audit</t>
        </is>
      </c>
      <c r="C263" s="25" t="inlineStr">
        <is>
          <t>§13</t>
        </is>
      </c>
      <c r="D263" s="25" t="inlineStr">
        <is>
          <t>Segregation of duties maker-checker</t>
        </is>
      </c>
      <c r="E263" s="25" t="inlineStr">
        <is>
          <t>—</t>
        </is>
      </c>
      <c r="F263" s="25" t="inlineStr">
        <is>
          <t>1. Same user creates and approves rule</t>
        </is>
      </c>
      <c r="G263" s="25" t="inlineStr">
        <is>
          <t>—</t>
        </is>
      </c>
      <c r="H263" s="25" t="inlineStr">
        <is>
          <t>Blocked</t>
        </is>
      </c>
      <c r="I263" s="25" t="inlineStr">
        <is>
          <t>P1</t>
        </is>
      </c>
      <c r="J263" s="25" t="inlineStr">
        <is>
          <t>Security</t>
        </is>
      </c>
      <c r="K263" s="25" t="inlineStr">
        <is>
          <t>API</t>
        </is>
      </c>
      <c r="L263" s="26" t="inlineStr">
        <is>
          <t>Pass</t>
        </is>
      </c>
      <c r="M263" s="26" t="inlineStr">
        <is>
          <t>Same user (manager, holding both rules.config and rules.approve) creating and approving → 403: Segregation of duties: Rule approval must be approved by a different user than the requester (manager).</t>
        </is>
      </c>
      <c r="N263" s="26" t="inlineStr">
        <is>
          <t>Claude (automated test suite)</t>
        </is>
      </c>
      <c r="O263" s="27" t="n">
        <v>46310</v>
      </c>
      <c r="P263" s="26" t="n"/>
      <c r="Q263" s="26" t="inlineStr">
        <is>
          <t>Automated: SecurityApiTests.Maker_checker_rule</t>
        </is>
      </c>
    </row>
    <row r="264" ht="15" customHeight="1" s="15">
      <c r="A264" s="25" t="inlineStr">
        <is>
          <t>TC-SEC-005</t>
        </is>
      </c>
      <c r="B264" s="25" t="inlineStr">
        <is>
          <t>Security &amp; Audit</t>
        </is>
      </c>
      <c r="C264" s="25" t="inlineStr">
        <is>
          <t>§13</t>
        </is>
      </c>
      <c r="D264" s="25" t="inlineStr">
        <is>
          <t>Data-scope permission</t>
        </is>
      </c>
      <c r="E264" s="25" t="inlineStr">
        <is>
          <t>User scoped to agent region</t>
        </is>
      </c>
      <c r="F264" s="25" t="inlineStr">
        <is>
          <t>1. Query customers outside scope</t>
        </is>
      </c>
      <c r="G264" s="25" t="inlineStr">
        <is>
          <t>—</t>
        </is>
      </c>
      <c r="H264" s="25" t="inlineStr">
        <is>
          <t>Not returned</t>
        </is>
      </c>
      <c r="I264" s="25" t="inlineStr">
        <is>
          <t>P2</t>
        </is>
      </c>
      <c r="J264" s="25" t="inlineStr">
        <is>
          <t>Security</t>
        </is>
      </c>
      <c r="K264" s="25" t="inlineStr">
        <is>
          <t>API</t>
        </is>
      </c>
      <c r="L264" s="26" t="inlineStr">
        <is>
          <t>Pass</t>
        </is>
      </c>
      <c r="M264" s="26" t="inlineStr">
        <is>
          <t>Regional officer (scope NORTH) lists only NORTH customers; GET of a CENTRAL customer → 404 identical to a non-existent ID (no existence leak, no stack trace).</t>
        </is>
      </c>
      <c r="N264" s="26" t="inlineStr">
        <is>
          <t>Claude (automated test suite)</t>
        </is>
      </c>
      <c r="O264" s="27" t="n">
        <v>46310</v>
      </c>
      <c r="P264" s="26" t="n"/>
      <c r="Q264" s="26" t="inlineStr">
        <is>
          <t>Automated: SecurityApiTests.Data_scope_and_idor</t>
        </is>
      </c>
    </row>
    <row r="265" ht="15" customHeight="1" s="15">
      <c r="A265" s="25" t="inlineStr">
        <is>
          <t>TC-SEC-006</t>
        </is>
      </c>
      <c r="B265" s="25" t="inlineStr">
        <is>
          <t>Security &amp; Audit</t>
        </is>
      </c>
      <c r="C265" s="25" t="inlineStr">
        <is>
          <t>§13</t>
        </is>
      </c>
      <c r="D265" s="25" t="inlineStr">
        <is>
          <t>Export permission</t>
        </is>
      </c>
      <c r="E265" s="25" t="inlineStr">
        <is>
          <t>User without export</t>
        </is>
      </c>
      <c r="F265" s="25" t="inlineStr">
        <is>
          <t>1. Export</t>
        </is>
      </c>
      <c r="G265" s="25" t="inlineStr">
        <is>
          <t>—</t>
        </is>
      </c>
      <c r="H265" s="25" t="inlineStr">
        <is>
          <t>HTTP 403; attempt audited</t>
        </is>
      </c>
      <c r="I265" s="25" t="inlineStr">
        <is>
          <t>P1</t>
        </is>
      </c>
      <c r="J265" s="25" t="inlineStr">
        <is>
          <t>Security</t>
        </is>
      </c>
      <c r="K265" s="25" t="inlineStr">
        <is>
          <t>API</t>
        </is>
      </c>
      <c r="L265" s="26" t="inlineStr">
        <is>
          <t>Pass</t>
        </is>
      </c>
      <c r="M265" s="26" t="inlineStr">
        <is>
          <t>Operations user export → 403 (audited ACCESS_DENIED); officer without reports.export.sensitive requesting sensitive columns → 403.</t>
        </is>
      </c>
      <c r="N265" s="26" t="inlineStr">
        <is>
          <t>Claude (automated test suite)</t>
        </is>
      </c>
      <c r="O265" s="27" t="n">
        <v>46310</v>
      </c>
      <c r="P265" s="26" t="n"/>
      <c r="Q265" s="26" t="inlineStr">
        <is>
          <t>Automated: SecurityApiTests.Export_permission</t>
        </is>
      </c>
    </row>
    <row r="266" ht="22.35" customHeight="1" s="15">
      <c r="A266" s="25" t="inlineStr">
        <is>
          <t>TC-SEC-007</t>
        </is>
      </c>
      <c r="B266" s="25" t="inlineStr">
        <is>
          <t>Security &amp; Audit</t>
        </is>
      </c>
      <c r="C266" s="25" t="inlineStr">
        <is>
          <t>§13</t>
        </is>
      </c>
      <c r="D266" s="25" t="inlineStr">
        <is>
          <t>Audit record content</t>
        </is>
      </c>
      <c r="E266" s="25" t="inlineStr">
        <is>
          <t>—</t>
        </is>
      </c>
      <c r="F266" s="25" t="inlineStr">
        <is>
          <t>1. Change config</t>
        </is>
      </c>
      <c r="G266" s="25" t="inlineStr">
        <is>
          <t>—</t>
        </is>
      </c>
      <c r="H266" s="25" t="inlineStr">
        <is>
          <t>Actor, UTC time, action, entity, old/new, reason, correlation ID</t>
        </is>
      </c>
      <c r="I266" s="25" t="inlineStr">
        <is>
          <t>P1</t>
        </is>
      </c>
      <c r="J266" s="25" t="inlineStr">
        <is>
          <t>Security</t>
        </is>
      </c>
      <c r="K266" s="25" t="inlineStr">
        <is>
          <t>Integration</t>
        </is>
      </c>
      <c r="L266" s="26" t="inlineStr">
        <is>
          <t>Pass</t>
        </is>
      </c>
      <c r="M266" s="26" t="inlineStr">
        <is>
          <t>Audit: actor admin, UTC 2026-10-15T00:00:05.8702590Z, action SETTING_UPDATE, entity SystemSetting/Realtime:HoldSlaMinutes, old {"value":"30"}, new {"value":"30"}, reason 'Confirm SLA per policy', correlation feb31100f6874f6ca2a88e9732fe159e; customer update audited with old/new region.</t>
        </is>
      </c>
      <c r="N266" s="26" t="inlineStr">
        <is>
          <t>Claude (automated test suite)</t>
        </is>
      </c>
      <c r="O266" s="27" t="n">
        <v>46310</v>
      </c>
      <c r="P266" s="26" t="n"/>
      <c r="Q266" s="26" t="inlineStr">
        <is>
          <t>Automated: SecurityApiTests.Audit_record_content</t>
        </is>
      </c>
    </row>
    <row r="267" ht="15" customHeight="1" s="15">
      <c r="A267" s="25" t="inlineStr">
        <is>
          <t>TC-SEC-008</t>
        </is>
      </c>
      <c r="B267" s="25" t="inlineStr">
        <is>
          <t>Security &amp; Audit</t>
        </is>
      </c>
      <c r="C267" s="25" t="inlineStr">
        <is>
          <t>§13</t>
        </is>
      </c>
      <c r="D267" s="25" t="inlineStr">
        <is>
          <t>Audit log tamper protection</t>
        </is>
      </c>
      <c r="E267" s="25" t="inlineStr">
        <is>
          <t>DB user of application</t>
        </is>
      </c>
      <c r="F267" s="25" t="inlineStr">
        <is>
          <t>1. Attempt update/delete audit row</t>
        </is>
      </c>
      <c r="G267" s="25" t="inlineStr">
        <is>
          <t>—</t>
        </is>
      </c>
      <c r="H267" s="25" t="inlineStr">
        <is>
          <t>Denied; integrity check detects change</t>
        </is>
      </c>
      <c r="I267" s="25" t="inlineStr">
        <is>
          <t>P1</t>
        </is>
      </c>
      <c r="J267" s="25" t="inlineStr">
        <is>
          <t>Security</t>
        </is>
      </c>
      <c r="K267" s="25" t="inlineStr">
        <is>
          <t>Integration</t>
        </is>
      </c>
      <c r="L267" s="26" t="inlineStr">
        <is>
          <t>Pass</t>
        </is>
      </c>
      <c r="M267" s="26" t="inlineStr">
        <is>
          <t>Application DB user UPDATE/DELETE on AuditLogs refused by trigger; simulated privileged tampering of row 4 detected by HMAC integrity verification (intact=false).</t>
        </is>
      </c>
      <c r="N267" s="26" t="inlineStr">
        <is>
          <t>Claude (automated test suite)</t>
        </is>
      </c>
      <c r="O267" s="27" t="n">
        <v>46310</v>
      </c>
      <c r="P267" s="26" t="n"/>
      <c r="Q267" s="26" t="inlineStr">
        <is>
          <t>Automated: SecurityApiTests.Audit_tamper_protection</t>
        </is>
      </c>
    </row>
    <row r="268" ht="15" customHeight="1" s="15">
      <c r="A268" s="25" t="inlineStr">
        <is>
          <t>TC-SEC-009</t>
        </is>
      </c>
      <c r="B268" s="25" t="inlineStr">
        <is>
          <t>Security &amp; Audit</t>
        </is>
      </c>
      <c r="C268" s="25" t="inlineStr">
        <is>
          <t>§13</t>
        </is>
      </c>
      <c r="D268" s="25" t="inlineStr">
        <is>
          <t>Sensitive data not logged</t>
        </is>
      </c>
      <c r="E268" s="25" t="inlineStr">
        <is>
          <t>—</t>
        </is>
      </c>
      <c r="F268" s="25" t="inlineStr">
        <is>
          <t>1. Trigger errors with ID numbers and tokens</t>
        </is>
      </c>
      <c r="G268" s="25" t="inlineStr">
        <is>
          <t>—</t>
        </is>
      </c>
      <c r="H268" s="25" t="inlineStr">
        <is>
          <t>Logs contain masked values only</t>
        </is>
      </c>
      <c r="I268" s="25" t="inlineStr">
        <is>
          <t>P1</t>
        </is>
      </c>
      <c r="J268" s="25" t="inlineStr">
        <is>
          <t>Security</t>
        </is>
      </c>
      <c r="K268" s="25" t="inlineStr">
        <is>
          <t>Integration</t>
        </is>
      </c>
      <c r="L268" s="26" t="inlineStr">
        <is>
          <t>Pass</t>
        </is>
      </c>
      <c r="M268" s="26" t="inlineStr">
        <is>
          <t>Errors/requests carrying national ID 88… and bearer tokens: log file contains neither the ID, token nor password; entries carry correlation IDs and masked values only.</t>
        </is>
      </c>
      <c r="N268" s="26" t="inlineStr">
        <is>
          <t>Claude (automated test suite)</t>
        </is>
      </c>
      <c r="O268" s="27" t="n">
        <v>46310</v>
      </c>
      <c r="P268" s="26" t="n"/>
      <c r="Q268" s="26" t="inlineStr">
        <is>
          <t>Automated: SecurityApiTests.Sensitive_not_logged</t>
        </is>
      </c>
    </row>
    <row r="269" ht="15" customHeight="1" s="15">
      <c r="A269" s="25" t="inlineStr">
        <is>
          <t>TC-SEC-010</t>
        </is>
      </c>
      <c r="B269" s="25" t="inlineStr">
        <is>
          <t>Security &amp; Audit</t>
        </is>
      </c>
      <c r="C269" s="25" t="inlineStr">
        <is>
          <t>§13</t>
        </is>
      </c>
      <c r="D269" s="25" t="inlineStr">
        <is>
          <t>Search hash never returned</t>
        </is>
      </c>
      <c r="E269" s="25" t="inlineStr">
        <is>
          <t>—</t>
        </is>
      </c>
      <c r="F269" s="25" t="inlineStr">
        <is>
          <t>1. GET customer</t>
        </is>
      </c>
      <c r="G269" s="25" t="inlineStr">
        <is>
          <t>—</t>
        </is>
      </c>
      <c r="H269" s="25" t="inlineStr">
        <is>
          <t>No hash/encrypted fields in response</t>
        </is>
      </c>
      <c r="I269" s="25" t="inlineStr">
        <is>
          <t>P1</t>
        </is>
      </c>
      <c r="J269" s="25" t="inlineStr">
        <is>
          <t>Security</t>
        </is>
      </c>
      <c r="K269" s="25" t="inlineStr">
        <is>
          <t>API</t>
        </is>
      </c>
      <c r="L269" s="26" t="inlineStr">
        <is>
          <t>Pass</t>
        </is>
      </c>
      <c r="M269" s="26" t="inlineStr">
        <is>
          <t>Customer detail/list/attributes responses are DTOs: no search tokens, ciphertext, password hashes, tenant or navigation properties; identifiers masked (unmasked null without permission).</t>
        </is>
      </c>
      <c r="N269" s="26" t="inlineStr">
        <is>
          <t>Claude (automated test suite)</t>
        </is>
      </c>
      <c r="O269" s="27" t="n">
        <v>46310</v>
      </c>
      <c r="P269" s="26" t="n"/>
      <c r="Q269" s="26" t="inlineStr">
        <is>
          <t>Automated: SecurityApiTests.No_hashes_or_entities_in_responses</t>
        </is>
      </c>
    </row>
    <row r="270" ht="15" customHeight="1" s="15">
      <c r="A270" s="25" t="inlineStr">
        <is>
          <t>TC-SEC-011</t>
        </is>
      </c>
      <c r="B270" s="25" t="inlineStr">
        <is>
          <t>Security &amp; Audit</t>
        </is>
      </c>
      <c r="C270" s="25" t="inlineStr">
        <is>
          <t>§13</t>
        </is>
      </c>
      <c r="D270" s="25" t="inlineStr">
        <is>
          <t>Keys outside source control</t>
        </is>
      </c>
      <c r="E270" s="25" t="inlineStr">
        <is>
          <t>—</t>
        </is>
      </c>
      <c r="F270" s="25" t="inlineStr">
        <is>
          <t>1. Scan repository</t>
        </is>
      </c>
      <c r="G270" s="25" t="inlineStr">
        <is>
          <t>—</t>
        </is>
      </c>
      <c r="H270" s="25" t="inlineStr">
        <is>
          <t>No keys/secrets found</t>
        </is>
      </c>
      <c r="I270" s="25" t="inlineStr">
        <is>
          <t>P1</t>
        </is>
      </c>
      <c r="J270" s="25" t="inlineStr">
        <is>
          <t>Security</t>
        </is>
      </c>
      <c r="K270" s="25" t="inlineStr">
        <is>
          <t>Unit</t>
        </is>
      </c>
      <c r="L270" s="26" t="inlineStr">
        <is>
          <t>Pass</t>
        </is>
      </c>
      <c r="M270" s="26" t="inlineStr">
        <is>
          <t>Scanned 140 source/config files: no private keys, crypto keys, connection-string passwords or cloud keys (secrets supplied via environment; .env.example has placeholders only). Test harness uses a disposable local SQL container password (tests/ only, overridable via AML_TEST_SQL).</t>
        </is>
      </c>
      <c r="N270" s="26" t="inlineStr">
        <is>
          <t>Claude (automated test suite)</t>
        </is>
      </c>
      <c r="O270" s="27" t="n">
        <v>46310</v>
      </c>
      <c r="P270" s="26" t="n"/>
      <c r="Q270" s="26" t="inlineStr">
        <is>
          <t>Automated: SecurityApiTests.No_secrets_in_repository</t>
        </is>
      </c>
    </row>
    <row r="271" ht="15" customHeight="1" s="15">
      <c r="A271" s="25" t="inlineStr">
        <is>
          <t>TC-SEC-012</t>
        </is>
      </c>
      <c r="B271" s="25" t="inlineStr">
        <is>
          <t>Security &amp; Audit</t>
        </is>
      </c>
      <c r="C271" s="25" t="inlineStr">
        <is>
          <t>§13</t>
        </is>
      </c>
      <c r="D271" s="25" t="inlineStr">
        <is>
          <t>TLS enforced</t>
        </is>
      </c>
      <c r="E271" s="25" t="inlineStr">
        <is>
          <t>—</t>
        </is>
      </c>
      <c r="F271" s="25" t="inlineStr">
        <is>
          <t>1. Call API over HTTP</t>
        </is>
      </c>
      <c r="G271" s="25" t="inlineStr">
        <is>
          <t>—</t>
        </is>
      </c>
      <c r="H271" s="25" t="inlineStr">
        <is>
          <t>Redirect or refused</t>
        </is>
      </c>
      <c r="I271" s="25" t="inlineStr">
        <is>
          <t>P2</t>
        </is>
      </c>
      <c r="J271" s="25" t="inlineStr">
        <is>
          <t>Security</t>
        </is>
      </c>
      <c r="K271" s="25" t="inlineStr">
        <is>
          <t>Integration</t>
        </is>
      </c>
      <c r="L271" s="26" t="inlineStr">
        <is>
          <t>Pass</t>
        </is>
      </c>
      <c r="M271" s="26" t="inlineStr">
        <is>
          <t>Plain HTTP request → 308 redirect to https://localhost/api/customers; UseHsts enabled for non-development environments (ASP.NET excludes localhost from HSTS headers, so header presence is verified at deployment).</t>
        </is>
      </c>
      <c r="N271" s="26" t="inlineStr">
        <is>
          <t>Claude (automated test suite)</t>
        </is>
      </c>
      <c r="O271" s="27" t="n">
        <v>46310</v>
      </c>
      <c r="P271" s="26" t="n"/>
      <c r="Q271" s="26" t="inlineStr">
        <is>
          <t>Automated: SecurityApiTests.Tls_enforced</t>
        </is>
      </c>
    </row>
    <row r="272" ht="15" customHeight="1" s="15">
      <c r="A272" s="25" t="inlineStr">
        <is>
          <t>TC-SEC-013</t>
        </is>
      </c>
      <c r="B272" s="25" t="inlineStr">
        <is>
          <t>Security &amp; Audit</t>
        </is>
      </c>
      <c r="C272" s="25" t="inlineStr">
        <is>
          <t>§13</t>
        </is>
      </c>
      <c r="D272" s="25" t="inlineStr">
        <is>
          <t>Upload malware scan</t>
        </is>
      </c>
      <c r="E272" s="25" t="inlineStr">
        <is>
          <t>Scanner configured</t>
        </is>
      </c>
      <c r="F272" s="25" t="inlineStr">
        <is>
          <t>1. Upload EICAR test file</t>
        </is>
      </c>
      <c r="G272" s="25" t="inlineStr">
        <is>
          <t>—</t>
        </is>
      </c>
      <c r="H272" s="25" t="inlineStr">
        <is>
          <t>Rejected and logged</t>
        </is>
      </c>
      <c r="I272" s="25" t="inlineStr">
        <is>
          <t>P2</t>
        </is>
      </c>
      <c r="J272" s="25" t="inlineStr">
        <is>
          <t>Security</t>
        </is>
      </c>
      <c r="K272" s="25" t="inlineStr">
        <is>
          <t>Integration</t>
        </is>
      </c>
      <c r="L272" s="26" t="inlineStr">
        <is>
          <t>Pass</t>
        </is>
      </c>
      <c r="M272" s="26" t="inlineStr">
        <is>
          <t>EICAR upload rejected (File rejected by malware scan (EICAR-Test-Signature).) and logged (UPLOAD_REJECTED_MALWARE audit + warning log).</t>
        </is>
      </c>
      <c r="N272" s="26" t="inlineStr">
        <is>
          <t>Claude (automated test suite)</t>
        </is>
      </c>
      <c r="O272" s="27" t="n">
        <v>46310</v>
      </c>
      <c r="P272" s="26" t="n"/>
      <c r="Q272" s="26" t="inlineStr">
        <is>
          <t>Automated: SecurityApiTests.Eicar_rejected_and_logged</t>
        </is>
      </c>
    </row>
    <row r="273" ht="15" customHeight="1" s="15">
      <c r="A273" s="25" t="inlineStr">
        <is>
          <t>TC-SEC-014</t>
        </is>
      </c>
      <c r="B273" s="25" t="inlineStr">
        <is>
          <t>Security &amp; Audit</t>
        </is>
      </c>
      <c r="C273" s="25" t="inlineStr">
        <is>
          <t>§13</t>
        </is>
      </c>
      <c r="D273" s="25" t="inlineStr">
        <is>
          <t>No plaintext passwords (dev auth)</t>
        </is>
      </c>
      <c r="E273" s="25" t="inlineStr">
        <is>
          <t>Dev auth</t>
        </is>
      </c>
      <c r="F273" s="25" t="inlineStr">
        <is>
          <t>1. Inspect user store</t>
        </is>
      </c>
      <c r="G273" s="25" t="inlineStr">
        <is>
          <t>—</t>
        </is>
      </c>
      <c r="H273" s="25" t="inlineStr">
        <is>
          <t>Hashed passwords only</t>
        </is>
      </c>
      <c r="I273" s="25" t="inlineStr">
        <is>
          <t>P2</t>
        </is>
      </c>
      <c r="J273" s="25" t="inlineStr">
        <is>
          <t>Security</t>
        </is>
      </c>
      <c r="K273" s="25" t="inlineStr">
        <is>
          <t>Integration</t>
        </is>
      </c>
      <c r="L273" s="26" t="inlineStr">
        <is>
          <t>Pass</t>
        </is>
      </c>
      <c r="M273" s="26" t="inlineStr">
        <is>
          <t>All 11 dev users store PBKDF2-SHA256 (210k iterations, salted) hashes only; no plaintext.</t>
        </is>
      </c>
      <c r="N273" s="26" t="inlineStr">
        <is>
          <t>Claude (automated test suite)</t>
        </is>
      </c>
      <c r="O273" s="27" t="n">
        <v>46310</v>
      </c>
      <c r="P273" s="26" t="n"/>
      <c r="Q273" s="26" t="inlineStr">
        <is>
          <t>Automated: SecurityApiTests.Passwords_hashed</t>
        </is>
      </c>
    </row>
    <row r="274" ht="15" customHeight="1" s="15">
      <c r="A274" s="25" t="inlineStr">
        <is>
          <t>TC-SEC-015</t>
        </is>
      </c>
      <c r="B274" s="25" t="inlineStr">
        <is>
          <t>Security &amp; Audit</t>
        </is>
      </c>
      <c r="C274" s="25" t="inlineStr">
        <is>
          <t>§13</t>
        </is>
      </c>
      <c r="D274" s="25" t="inlineStr">
        <is>
          <t>OWASP checks (XSS)</t>
        </is>
      </c>
      <c r="E274" s="25" t="inlineStr">
        <is>
          <t>—</t>
        </is>
      </c>
      <c r="F274" s="25" t="inlineStr">
        <is>
          <t>1. Enter &lt;script&gt; in customer name</t>
        </is>
      </c>
      <c r="G274" s="25" t="inlineStr">
        <is>
          <t>—</t>
        </is>
      </c>
      <c r="H274" s="25" t="inlineStr">
        <is>
          <t>Escaped on render; no execution</t>
        </is>
      </c>
      <c r="I274" s="25" t="inlineStr">
        <is>
          <t>P1</t>
        </is>
      </c>
      <c r="J274" s="25" t="inlineStr">
        <is>
          <t>Security</t>
        </is>
      </c>
      <c r="K274" s="25" t="inlineStr">
        <is>
          <t>E2E</t>
        </is>
      </c>
      <c r="L274" s="26" t="inlineStr">
        <is>
          <t>Pass</t>
        </is>
      </c>
      <c r="M274" s="26" t="inlineStr">
        <is>
          <t>Script payload stored verbatim as data and returned only as a JSON string value with Content-Type application/json and X-Content-Type-Options nosniff (no HTML rendering by the API); React UI renders it as text (verified in E2E). | Name containing &lt;script&gt;/&lt;img onerror&gt; displayed as literal text, no script executed or element injected; all 14 profile tabs load API data or empty state; screening status and risk level shown as separate badges.</t>
        </is>
      </c>
      <c r="N274" s="26" t="inlineStr">
        <is>
          <t>Claude (automated test suite)</t>
        </is>
      </c>
      <c r="O274" s="27" t="n">
        <v>46310</v>
      </c>
      <c r="P274" s="26" t="n"/>
      <c r="Q274" s="26" t="inlineStr">
        <is>
          <t>Automated: SecurityApiTests.Xss_payload_stored_as_text; E2E: [TC-SEC-015, TC-CUS-012, TC-SCR-006] XSS rendered as text; profile tabs and separate screening/risk badges</t>
        </is>
      </c>
    </row>
    <row r="275" ht="15" customHeight="1" s="15">
      <c r="A275" s="25" t="inlineStr">
        <is>
          <t>TC-SEC-016</t>
        </is>
      </c>
      <c r="B275" s="25" t="inlineStr">
        <is>
          <t>Security &amp; Audit</t>
        </is>
      </c>
      <c r="C275" s="25" t="inlineStr">
        <is>
          <t>§13</t>
        </is>
      </c>
      <c r="D275" s="25" t="inlineStr">
        <is>
          <t>IDOR check</t>
        </is>
      </c>
      <c r="E275" s="25" t="inlineStr">
        <is>
          <t>User A</t>
        </is>
      </c>
      <c r="F275" s="25" t="inlineStr">
        <is>
          <t>1. Request case ID of other team</t>
        </is>
      </c>
      <c r="G275" s="25" t="inlineStr">
        <is>
          <t>—</t>
        </is>
      </c>
      <c r="H275" s="25" t="inlineStr">
        <is>
          <t>HTTP 403/404</t>
        </is>
      </c>
      <c r="I275" s="25" t="inlineStr">
        <is>
          <t>P1</t>
        </is>
      </c>
      <c r="J275" s="25" t="inlineStr">
        <is>
          <t>Security</t>
        </is>
      </c>
      <c r="K275" s="25" t="inlineStr">
        <is>
          <t>API</t>
        </is>
      </c>
      <c r="L275" s="26" t="inlineStr">
        <is>
          <t>Pass</t>
        </is>
      </c>
      <c r="M275" s="26" t="inlineStr">
        <is>
          <t>Regional officer (scope NORTH) lists only NORTH customers; GET of a CENTRAL customer → 404 identical to a non-existent ID (no existence leak, no stack trace).</t>
        </is>
      </c>
      <c r="N275" s="26" t="inlineStr">
        <is>
          <t>Claude (automated test suite)</t>
        </is>
      </c>
      <c r="O275" s="27" t="n">
        <v>46310</v>
      </c>
      <c r="P275" s="26" t="n"/>
      <c r="Q275" s="26" t="inlineStr">
        <is>
          <t>Automated: SecurityApiTests.Data_scope_and_idor</t>
        </is>
      </c>
    </row>
    <row r="276" ht="15" customHeight="1" s="15">
      <c r="A276" s="25" t="inlineStr">
        <is>
          <t>TC-API-001</t>
        </is>
      </c>
      <c r="B276" s="25" t="inlineStr">
        <is>
          <t>API Contracts</t>
        </is>
      </c>
      <c r="C276" s="25" t="inlineStr">
        <is>
          <t>§14</t>
        </is>
      </c>
      <c r="D276" s="25" t="inlineStr">
        <is>
          <t>Problem-details error format</t>
        </is>
      </c>
      <c r="E276" s="25" t="inlineStr">
        <is>
          <t>—</t>
        </is>
      </c>
      <c r="F276" s="25" t="inlineStr">
        <is>
          <t>1. Send invalid request</t>
        </is>
      </c>
      <c r="G276" s="25" t="inlineStr">
        <is>
          <t>—</t>
        </is>
      </c>
      <c r="H276" s="25" t="inlineStr">
        <is>
          <t>RFC 7807 body with traceId/correlation ID</t>
        </is>
      </c>
      <c r="I276" s="25" t="inlineStr">
        <is>
          <t>P2</t>
        </is>
      </c>
      <c r="J276" s="25" t="inlineStr">
        <is>
          <t>Functional</t>
        </is>
      </c>
      <c r="K276" s="25" t="inlineStr">
        <is>
          <t>API</t>
        </is>
      </c>
      <c r="L276" s="26" t="inlineStr">
        <is>
          <t>Pass</t>
        </is>
      </c>
      <c r="M276" s="26" t="inlineStr">
        <is>
          <t>RFC 7807 application/problem+json with type/title/status/detail/errors/traceId/correlationId; supplied X-Correlation-ID corr-b53a4cd35b29 echoed in header/body and present in logs; no stack trace.</t>
        </is>
      </c>
      <c r="N276" s="26" t="inlineStr">
        <is>
          <t>Claude (automated test suite)</t>
        </is>
      </c>
      <c r="O276" s="27" t="n">
        <v>46310</v>
      </c>
      <c r="P276" s="26" t="n"/>
      <c r="Q276" s="26" t="inlineStr">
        <is>
          <t>Automated: SecurityApiTests.Problem_details_and_correlation</t>
        </is>
      </c>
    </row>
    <row r="277" ht="15" customHeight="1" s="15">
      <c r="A277" s="25" t="inlineStr">
        <is>
          <t>TC-API-002</t>
        </is>
      </c>
      <c r="B277" s="25" t="inlineStr">
        <is>
          <t>API Contracts</t>
        </is>
      </c>
      <c r="C277" s="25" t="inlineStr">
        <is>
          <t>§14</t>
        </is>
      </c>
      <c r="D277" s="25" t="inlineStr">
        <is>
          <t>Correlation ID propagation</t>
        </is>
      </c>
      <c r="E277" s="25" t="inlineStr">
        <is>
          <t>Header X-Correlation-ID</t>
        </is>
      </c>
      <c r="F277" s="25" t="inlineStr">
        <is>
          <t>1. Call API</t>
        </is>
      </c>
      <c r="G277" s="25" t="inlineStr">
        <is>
          <t>—</t>
        </is>
      </c>
      <c r="H277" s="25" t="inlineStr">
        <is>
          <t>Same ID in response and logs</t>
        </is>
      </c>
      <c r="I277" s="25" t="inlineStr">
        <is>
          <t>P2</t>
        </is>
      </c>
      <c r="J277" s="25" t="inlineStr">
        <is>
          <t>Functional</t>
        </is>
      </c>
      <c r="K277" s="25" t="inlineStr">
        <is>
          <t>API</t>
        </is>
      </c>
      <c r="L277" s="26" t="inlineStr">
        <is>
          <t>Pass</t>
        </is>
      </c>
      <c r="M277" s="26" t="inlineStr">
        <is>
          <t>RFC 7807 application/problem+json with type/title/status/detail/errors/traceId/correlationId; supplied X-Correlation-ID corr-b53a4cd35b29 echoed in header/body and present in logs; no stack trace.</t>
        </is>
      </c>
      <c r="N277" s="26" t="inlineStr">
        <is>
          <t>Claude (automated test suite)</t>
        </is>
      </c>
      <c r="O277" s="27" t="n">
        <v>46310</v>
      </c>
      <c r="P277" s="26" t="n"/>
      <c r="Q277" s="26" t="inlineStr">
        <is>
          <t>Automated: SecurityApiTests.Problem_details_and_correlation</t>
        </is>
      </c>
    </row>
    <row r="278" ht="15" customHeight="1" s="15">
      <c r="A278" s="25" t="inlineStr">
        <is>
          <t>TC-API-003</t>
        </is>
      </c>
      <c r="B278" s="25" t="inlineStr">
        <is>
          <t>API Contracts</t>
        </is>
      </c>
      <c r="C278" s="25" t="inlineStr">
        <is>
          <t>§14</t>
        </is>
      </c>
      <c r="D278" s="25" t="inlineStr">
        <is>
          <t>Pagination contract</t>
        </is>
      </c>
      <c r="E278" s="25" t="inlineStr">
        <is>
          <t>—</t>
        </is>
      </c>
      <c r="F278" s="25" t="inlineStr">
        <is>
          <t>1. GET /api/alerts?page=2&amp;pageSize=20</t>
        </is>
      </c>
      <c r="G278" s="25" t="inlineStr">
        <is>
          <t>—</t>
        </is>
      </c>
      <c r="H278" s="25" t="inlineStr">
        <is>
          <t>Items, page, pageSize, total returned</t>
        </is>
      </c>
      <c r="I278" s="25" t="inlineStr">
        <is>
          <t>P3</t>
        </is>
      </c>
      <c r="J278" s="25" t="inlineStr">
        <is>
          <t>Functional</t>
        </is>
      </c>
      <c r="K278" s="25" t="inlineStr">
        <is>
          <t>API</t>
        </is>
      </c>
      <c r="L278" s="26" t="inlineStr">
        <is>
          <t>Pass</t>
        </is>
      </c>
      <c r="M278" s="26" t="inlineStr">
        <is>
          <t>GET /api/alerts?page=2&amp;pageSize=20 → items/page/pageSize/total; unknown sort expression rejected 400 (allow-listed columns only, no SQL executed).</t>
        </is>
      </c>
      <c r="N278" s="26" t="inlineStr">
        <is>
          <t>Claude (automated test suite)</t>
        </is>
      </c>
      <c r="O278" s="27" t="n">
        <v>46310</v>
      </c>
      <c r="P278" s="26" t="n"/>
      <c r="Q278" s="26" t="inlineStr">
        <is>
          <t>Automated: SecurityApiTests.Pagination_contract_and_sort_allow_list</t>
        </is>
      </c>
    </row>
    <row r="279" ht="15" customHeight="1" s="15">
      <c r="A279" s="25" t="inlineStr">
        <is>
          <t>TC-API-004</t>
        </is>
      </c>
      <c r="B279" s="25" t="inlineStr">
        <is>
          <t>API Contracts</t>
        </is>
      </c>
      <c r="C279" s="25" t="inlineStr">
        <is>
          <t>§14</t>
        </is>
      </c>
      <c r="D279" s="25" t="inlineStr">
        <is>
          <t>DTOs not entities</t>
        </is>
      </c>
      <c r="E279" s="25" t="inlineStr">
        <is>
          <t>—</t>
        </is>
      </c>
      <c r="F279" s="25" t="inlineStr">
        <is>
          <t>1. Inspect responses</t>
        </is>
      </c>
      <c r="G279" s="25" t="inlineStr">
        <is>
          <t>—</t>
        </is>
      </c>
      <c r="H279" s="25" t="inlineStr">
        <is>
          <t>No EF navigation/internal fields exposed</t>
        </is>
      </c>
      <c r="I279" s="25" t="inlineStr">
        <is>
          <t>P2</t>
        </is>
      </c>
      <c r="J279" s="25" t="inlineStr">
        <is>
          <t>Security</t>
        </is>
      </c>
      <c r="K279" s="25" t="inlineStr">
        <is>
          <t>API</t>
        </is>
      </c>
      <c r="L279" s="26" t="inlineStr">
        <is>
          <t>Pass</t>
        </is>
      </c>
      <c r="M279" s="26" t="inlineStr">
        <is>
          <t>Customer detail/list/attributes responses are DTOs: no search tokens, ciphertext, password hashes, tenant or navigation properties; identifiers masked (unmasked null without permission).</t>
        </is>
      </c>
      <c r="N279" s="26" t="inlineStr">
        <is>
          <t>Claude (automated test suite)</t>
        </is>
      </c>
      <c r="O279" s="27" t="n">
        <v>46310</v>
      </c>
      <c r="P279" s="26" t="n"/>
      <c r="Q279" s="26" t="inlineStr">
        <is>
          <t>Automated: SecurityApiTests.No_hashes_or_entities_in_responses</t>
        </is>
      </c>
    </row>
    <row r="280" ht="15" customHeight="1" s="15">
      <c r="A280" s="25" t="inlineStr">
        <is>
          <t>TC-API-005</t>
        </is>
      </c>
      <c r="B280" s="25" t="inlineStr">
        <is>
          <t>API Contracts</t>
        </is>
      </c>
      <c r="C280" s="25" t="inlineStr">
        <is>
          <t>§14</t>
        </is>
      </c>
      <c r="D280" s="25" t="inlineStr">
        <is>
          <t>OpenAPI available in dev only</t>
        </is>
      </c>
      <c r="E280" s="25" t="inlineStr">
        <is>
          <t>—</t>
        </is>
      </c>
      <c r="F280" s="25" t="inlineStr">
        <is>
          <t>1. Open /swagger in dev and prod config</t>
        </is>
      </c>
      <c r="G280" s="25" t="inlineStr">
        <is>
          <t>—</t>
        </is>
      </c>
      <c r="H280" s="25" t="inlineStr">
        <is>
          <t>Available in dev; disabled in prod</t>
        </is>
      </c>
      <c r="I280" s="25" t="inlineStr">
        <is>
          <t>P2</t>
        </is>
      </c>
      <c r="J280" s="25" t="inlineStr">
        <is>
          <t>Security</t>
        </is>
      </c>
      <c r="K280" s="25" t="inlineStr">
        <is>
          <t>API</t>
        </is>
      </c>
      <c r="L280" s="26" t="inlineStr">
        <is>
          <t>Pass</t>
        </is>
      </c>
      <c r="M280" s="26" t="inlineStr">
        <is>
          <t>OpenAPI document available in Development (/swagger/v1/swagger.json 200) and not served in non-development configuration (404).</t>
        </is>
      </c>
      <c r="N280" s="26" t="inlineStr">
        <is>
          <t>Claude (automated test suite)</t>
        </is>
      </c>
      <c r="O280" s="27" t="n">
        <v>46310</v>
      </c>
      <c r="P280" s="26" t="n"/>
      <c r="Q280" s="26" t="inlineStr">
        <is>
          <t>Automated: SecurityApiTests.Swagger_dev_only</t>
        </is>
      </c>
    </row>
    <row r="281" ht="22.35" customHeight="1" s="15">
      <c r="A281" s="25" t="inlineStr">
        <is>
          <t>TC-API-006</t>
        </is>
      </c>
      <c r="B281" s="25" t="inlineStr">
        <is>
          <t>API Contracts</t>
        </is>
      </c>
      <c r="C281" s="25" t="inlineStr">
        <is>
          <t>§14</t>
        </is>
      </c>
      <c r="D281" s="25" t="inlineStr">
        <is>
          <t>Integration ingest endpoint secured</t>
        </is>
      </c>
      <c r="E281" s="25" t="inlineStr">
        <is>
          <t>—</t>
        </is>
      </c>
      <c r="F281" s="25" t="inlineStr">
        <is>
          <t>1. POST /api/integrations/{source}/transactions without client credentials</t>
        </is>
      </c>
      <c r="G281" s="25" t="inlineStr">
        <is>
          <t>—</t>
        </is>
      </c>
      <c r="H281" s="25" t="inlineStr">
        <is>
          <t>HTTP 401</t>
        </is>
      </c>
      <c r="I281" s="25" t="inlineStr">
        <is>
          <t>P1</t>
        </is>
      </c>
      <c r="J281" s="25" t="inlineStr">
        <is>
          <t>Security</t>
        </is>
      </c>
      <c r="K281" s="25" t="inlineStr">
        <is>
          <t>API</t>
        </is>
      </c>
      <c r="L281" s="26" t="inlineStr">
        <is>
          <t>Pass</t>
        </is>
      </c>
      <c r="M281" s="26" t="inlineStr">
        <is>
          <t>No token → 401 on protected endpoints including POST /api/integrations/CORE/transactions; wrong client secret → 401.</t>
        </is>
      </c>
      <c r="N281" s="26" t="inlineStr">
        <is>
          <t>Claude (automated test suite)</t>
        </is>
      </c>
      <c r="O281" s="27" t="n">
        <v>46310</v>
      </c>
      <c r="P281" s="26" t="n"/>
      <c r="Q281" s="26" t="inlineStr">
        <is>
          <t>Automated: SecurityApiTests.Unauthenticated_rejected</t>
        </is>
      </c>
    </row>
    <row r="282" ht="15" customHeight="1" s="15">
      <c r="A282" s="25" t="inlineStr">
        <is>
          <t>TC-API-007</t>
        </is>
      </c>
      <c r="B282" s="25" t="inlineStr">
        <is>
          <t>API Contracts</t>
        </is>
      </c>
      <c r="C282" s="25" t="inlineStr">
        <is>
          <t>§14</t>
        </is>
      </c>
      <c r="D282" s="25" t="inlineStr">
        <is>
          <t>Validate endpoint for rule</t>
        </is>
      </c>
      <c r="E282" s="25" t="inlineStr">
        <is>
          <t>—</t>
        </is>
      </c>
      <c r="F282" s="25" t="inlineStr">
        <is>
          <t>1. POST /api/admin/aml-rules/{id}/validate</t>
        </is>
      </c>
      <c r="G282" s="25" t="inlineStr">
        <is>
          <t>—</t>
        </is>
      </c>
      <c r="H282" s="25" t="inlineStr">
        <is>
          <t>Validation result list</t>
        </is>
      </c>
      <c r="I282" s="25" t="inlineStr">
        <is>
          <t>P3</t>
        </is>
      </c>
      <c r="J282" s="25" t="inlineStr">
        <is>
          <t>Functional</t>
        </is>
      </c>
      <c r="K282" s="25" t="inlineStr">
        <is>
          <t>API</t>
        </is>
      </c>
      <c r="L282" s="26" t="inlineStr">
        <is>
          <t>Pass</t>
        </is>
      </c>
      <c r="M282" s="26" t="inlineStr">
        <is>
          <t>Rule validate endpoint returns error list (Operator 'contains' is not compatible with Number field 'txn.amount'.); methodology simulate returns breakdown (score 33.13, final High, overrides ["PEP_MIN_HIGH: PEP relationship requires at least High (sample policy) =\u003E minimum High"]) with no persistence.</t>
        </is>
      </c>
      <c r="N282" s="26" t="inlineStr">
        <is>
          <t>Claude (automated test suite)</t>
        </is>
      </c>
      <c r="O282" s="27" t="n">
        <v>46310</v>
      </c>
      <c r="P282" s="26" t="n"/>
      <c r="Q282" s="26" t="inlineStr">
        <is>
          <t>Automated: SecurityApiTests.Validate_and_simulate_endpoints</t>
        </is>
      </c>
    </row>
    <row r="283" ht="15" customHeight="1" s="15">
      <c r="A283" s="25" t="inlineStr">
        <is>
          <t>TC-API-008</t>
        </is>
      </c>
      <c r="B283" s="25" t="inlineStr">
        <is>
          <t>API Contracts</t>
        </is>
      </c>
      <c r="C283" s="25" t="inlineStr">
        <is>
          <t>§14</t>
        </is>
      </c>
      <c r="D283" s="25" t="inlineStr">
        <is>
          <t>Simulate endpoint for methodology</t>
        </is>
      </c>
      <c r="E283" s="25" t="inlineStr">
        <is>
          <t>—</t>
        </is>
      </c>
      <c r="F283" s="25" t="inlineStr">
        <is>
          <t>1. POST /api/admin/risk-methodologies/{id}/simulate</t>
        </is>
      </c>
      <c r="G283" s="25" t="inlineStr">
        <is>
          <t>—</t>
        </is>
      </c>
      <c r="H283" s="25" t="inlineStr">
        <is>
          <t>Breakdown returned; no persistence</t>
        </is>
      </c>
      <c r="I283" s="25" t="inlineStr">
        <is>
          <t>P2</t>
        </is>
      </c>
      <c r="J283" s="25" t="inlineStr">
        <is>
          <t>Functional</t>
        </is>
      </c>
      <c r="K283" s="25" t="inlineStr">
        <is>
          <t>API</t>
        </is>
      </c>
      <c r="L283" s="26" t="inlineStr">
        <is>
          <t>Pass</t>
        </is>
      </c>
      <c r="M283" s="26" t="inlineStr">
        <is>
          <t>Rule validate endpoint returns error list (Operator 'contains' is not compatible with Number field 'txn.amount'.); methodology simulate returns breakdown (score 33.13, final High, overrides ["PEP_MIN_HIGH: PEP relationship requires at least High (sample policy) =\u003E minimum High"]) with no persistence.</t>
        </is>
      </c>
      <c r="N283" s="26" t="inlineStr">
        <is>
          <t>Claude (automated test suite)</t>
        </is>
      </c>
      <c r="O283" s="27" t="n">
        <v>46310</v>
      </c>
      <c r="P283" s="26" t="n"/>
      <c r="Q283" s="26" t="inlineStr">
        <is>
          <t>Automated: SecurityApiTests.Validate_and_simulate_endpoints</t>
        </is>
      </c>
    </row>
    <row r="284" ht="15" customHeight="1" s="15">
      <c r="A284" s="25" t="inlineStr">
        <is>
          <t>TC-RPT-001</t>
        </is>
      </c>
      <c r="B284" s="25" t="inlineStr">
        <is>
          <t>Reports &amp; Exports</t>
        </is>
      </c>
      <c r="C284" s="25" t="inlineStr">
        <is>
          <t>§12, §31</t>
        </is>
      </c>
      <c r="D284" s="25" t="inlineStr">
        <is>
          <t>Risk distribution report</t>
        </is>
      </c>
      <c r="E284" s="25" t="inlineStr">
        <is>
          <t>Seeded data</t>
        </is>
      </c>
      <c r="F284" s="25" t="inlineStr">
        <is>
          <t>1. Run report</t>
        </is>
      </c>
      <c r="G284" s="25" t="inlineStr">
        <is>
          <t>—</t>
        </is>
      </c>
      <c r="H284" s="25" t="inlineStr">
        <is>
          <t>Counts per risk level match DB</t>
        </is>
      </c>
      <c r="I284" s="25" t="inlineStr">
        <is>
          <t>P2</t>
        </is>
      </c>
      <c r="J284" s="25" t="inlineStr">
        <is>
          <t>Functional</t>
        </is>
      </c>
      <c r="K284" s="25" t="inlineStr">
        <is>
          <t>E2E</t>
        </is>
      </c>
      <c r="L284" s="26" t="inlineStr">
        <is>
          <t>Pass</t>
        </is>
      </c>
      <c r="M284" s="26" t="inlineStr">
        <is>
          <t>Risk distribution: Critical=4, High=6, Low=16, Medium=5 — report rows match DB counts.</t>
        </is>
      </c>
      <c r="N284" s="26" t="inlineStr">
        <is>
          <t>Claude (automated test suite)</t>
        </is>
      </c>
      <c r="O284" s="27" t="n">
        <v>46310</v>
      </c>
      <c r="P284" s="26" t="n"/>
      <c r="Q284" s="26" t="inlineStr">
        <is>
          <t>Automated: ReportsNfrTests.Risk_distribution_matches_db</t>
        </is>
      </c>
    </row>
    <row r="285" ht="15" customHeight="1" s="15">
      <c r="A285" s="25" t="inlineStr">
        <is>
          <t>TC-RPT-002</t>
        </is>
      </c>
      <c r="B285" s="25" t="inlineStr">
        <is>
          <t>Reports &amp; Exports</t>
        </is>
      </c>
      <c r="C285" s="25" t="inlineStr">
        <is>
          <t>§12, §31</t>
        </is>
      </c>
      <c r="D285" s="25" t="inlineStr">
        <is>
          <t>Overdue reviews report</t>
        </is>
      </c>
      <c r="E285" s="25" t="inlineStr">
        <is>
          <t>—</t>
        </is>
      </c>
      <c r="F285" s="25" t="inlineStr">
        <is>
          <t>1. Run</t>
        </is>
      </c>
      <c r="G285" s="25" t="inlineStr">
        <is>
          <t>—</t>
        </is>
      </c>
      <c r="H285" s="25" t="inlineStr">
        <is>
          <t>Matches overdue tasks</t>
        </is>
      </c>
      <c r="I285" s="25" t="inlineStr">
        <is>
          <t>P2</t>
        </is>
      </c>
      <c r="J285" s="25" t="inlineStr">
        <is>
          <t>Functional</t>
        </is>
      </c>
      <c r="K285" s="25" t="inlineStr">
        <is>
          <t>E2E</t>
        </is>
      </c>
      <c r="L285" s="26" t="inlineStr">
        <is>
          <t>Pass</t>
        </is>
      </c>
      <c r="M285" s="26" t="inlineStr">
        <is>
          <t>Overdue-reviews report lists 7 due/overdue items covering all 1 overdue open review tasks.</t>
        </is>
      </c>
      <c r="N285" s="26" t="inlineStr">
        <is>
          <t>Claude (automated test suite)</t>
        </is>
      </c>
      <c r="O285" s="27" t="n">
        <v>46310</v>
      </c>
      <c r="P285" s="26" t="n"/>
      <c r="Q285" s="26" t="inlineStr">
        <is>
          <t>Automated: ReportsNfrTests.Overdue_reviews_match</t>
        </is>
      </c>
    </row>
    <row r="286" ht="15" customHeight="1" s="15">
      <c r="A286" s="25" t="inlineStr">
        <is>
          <t>TC-RPT-003</t>
        </is>
      </c>
      <c r="B286" s="25" t="inlineStr">
        <is>
          <t>Reports &amp; Exports</t>
        </is>
      </c>
      <c r="C286" s="25" t="inlineStr">
        <is>
          <t>§12, §31</t>
        </is>
      </c>
      <c r="D286" s="25" t="inlineStr">
        <is>
          <t>Large export asynchronous</t>
        </is>
      </c>
      <c r="E286" s="25" t="inlineStr">
        <is>
          <t>200k rows</t>
        </is>
      </c>
      <c r="F286" s="25" t="inlineStr">
        <is>
          <t>1. Request export</t>
        </is>
      </c>
      <c r="G286" s="25" t="inlineStr">
        <is>
          <t>—</t>
        </is>
      </c>
      <c r="H286" s="25" t="inlineStr">
        <is>
          <t>Background job; notification; download audited</t>
        </is>
      </c>
      <c r="I286" s="25" t="inlineStr">
        <is>
          <t>P2</t>
        </is>
      </c>
      <c r="J286" s="25" t="inlineStr">
        <is>
          <t>Performance</t>
        </is>
      </c>
      <c r="K286" s="25" t="inlineStr">
        <is>
          <t>Integration</t>
        </is>
      </c>
      <c r="L286" s="26" t="inlineStr">
        <is>
          <t>Pass</t>
        </is>
      </c>
      <c r="M286" s="26" t="inlineStr">
        <is>
          <t>Export queued (202 + status URL), processed by background job → Completed (1 rows, SHA-256 F106E2BDBA41…); request and download audited; other users cannot download it. (Volume test with 200k rows not executed — see known gaps.)</t>
        </is>
      </c>
      <c r="N286" s="26" t="inlineStr">
        <is>
          <t>Claude (automated test suite)</t>
        </is>
      </c>
      <c r="O286" s="27" t="n">
        <v>46310</v>
      </c>
      <c r="P286" s="26" t="n"/>
      <c r="Q286" s="26" t="inlineStr">
        <is>
          <t>Automated: ReportsNfrTests.Async_export_audited</t>
        </is>
      </c>
    </row>
    <row r="287" ht="15" customHeight="1" s="15">
      <c r="A287" s="25" t="inlineStr">
        <is>
          <t>TC-RPT-004</t>
        </is>
      </c>
      <c r="B287" s="25" t="inlineStr">
        <is>
          <t>Reports &amp; Exports</t>
        </is>
      </c>
      <c r="C287" s="25" t="inlineStr">
        <is>
          <t>§12, §31</t>
        </is>
      </c>
      <c r="D287" s="25" t="inlineStr">
        <is>
          <t>Sensitive fields excluded by default</t>
        </is>
      </c>
      <c r="E287" s="25" t="inlineStr">
        <is>
          <t>—</t>
        </is>
      </c>
      <c r="F287" s="25" t="inlineStr">
        <is>
          <t>1. Export customers</t>
        </is>
      </c>
      <c r="G287" s="25" t="inlineStr">
        <is>
          <t>—</t>
        </is>
      </c>
      <c r="H287" s="25" t="inlineStr">
        <is>
          <t>ID numbers excluded unless permitted and selected</t>
        </is>
      </c>
      <c r="I287" s="25" t="inlineStr">
        <is>
          <t>P1</t>
        </is>
      </c>
      <c r="J287" s="25" t="inlineStr">
        <is>
          <t>Security</t>
        </is>
      </c>
      <c r="K287" s="25" t="inlineStr">
        <is>
          <t>Integration</t>
        </is>
      </c>
      <c r="L287" s="26" t="inlineStr">
        <is>
          <t>Pass</t>
        </is>
      </c>
      <c r="M287" s="26" t="inlineStr">
        <is>
          <t>Default customer export contains no ID numbers; sensitive columns appear only when the user holds reports.export.sensitive and explicitly selects them.</t>
        </is>
      </c>
      <c r="N287" s="26" t="inlineStr">
        <is>
          <t>Claude (automated test suite)</t>
        </is>
      </c>
      <c r="O287" s="27" t="n">
        <v>46310</v>
      </c>
      <c r="P287" s="26" t="n"/>
      <c r="Q287" s="26" t="inlineStr">
        <is>
          <t>Automated: ReportsNfrTests.Sensitive_excluded_by_default</t>
        </is>
      </c>
    </row>
    <row r="288" ht="15" customHeight="1" s="15">
      <c r="A288" s="25" t="inlineStr">
        <is>
          <t>TC-RPT-005</t>
        </is>
      </c>
      <c r="B288" s="25" t="inlineStr">
        <is>
          <t>Reports &amp; Exports</t>
        </is>
      </c>
      <c r="C288" s="25" t="inlineStr">
        <is>
          <t>§12, §31</t>
        </is>
      </c>
      <c r="D288" s="25" t="inlineStr">
        <is>
          <t>Excel export opens correctly</t>
        </is>
      </c>
      <c r="E288" s="25" t="inlineStr">
        <is>
          <t>—</t>
        </is>
      </c>
      <c r="F288" s="25" t="inlineStr">
        <is>
          <t>1. Export alerts to Excel</t>
        </is>
      </c>
      <c r="G288" s="25" t="inlineStr">
        <is>
          <t>—</t>
        </is>
      </c>
      <c r="H288" s="25" t="inlineStr">
        <is>
          <t>Valid file; Arabic text intact</t>
        </is>
      </c>
      <c r="I288" s="25" t="inlineStr">
        <is>
          <t>P3</t>
        </is>
      </c>
      <c r="J288" s="25" t="inlineStr">
        <is>
          <t>Functional</t>
        </is>
      </c>
      <c r="K288" s="25" t="inlineStr">
        <is>
          <t>E2E</t>
        </is>
      </c>
      <c r="L288" s="26" t="inlineStr">
        <is>
          <t>Pass</t>
        </is>
      </c>
      <c r="M288" s="26" t="inlineStr">
        <is>
          <t>XLSX opens with ClosedXML, Arabic intact, no formula cells; CSV is UTF-8 with BOM, Arabic intact, leading '=' neutralized as '\'=HYPERLINK…' (formula injection prevented).</t>
        </is>
      </c>
      <c r="N288" s="26" t="inlineStr">
        <is>
          <t>Claude (automated test suite)</t>
        </is>
      </c>
      <c r="O288" s="27" t="n">
        <v>46310</v>
      </c>
      <c r="P288" s="26" t="n"/>
      <c r="Q288" s="26" t="inlineStr">
        <is>
          <t>Automated: ReportsNfrTests.Excel_and_csv_arabic_and_formula_safe</t>
        </is>
      </c>
    </row>
    <row r="289" ht="15" customHeight="1" s="15">
      <c r="A289" s="25" t="inlineStr">
        <is>
          <t>TC-RPT-006</t>
        </is>
      </c>
      <c r="B289" s="25" t="inlineStr">
        <is>
          <t>Reports &amp; Exports</t>
        </is>
      </c>
      <c r="C289" s="25" t="inlineStr">
        <is>
          <t>§12, §31</t>
        </is>
      </c>
      <c r="D289" s="25" t="inlineStr">
        <is>
          <t>Management information pack</t>
        </is>
      </c>
      <c r="E289" s="25" t="inlineStr">
        <is>
          <t>—</t>
        </is>
      </c>
      <c r="F289" s="25" t="inlineStr">
        <is>
          <t>1. Generate MI pack</t>
        </is>
      </c>
      <c r="G289" s="25" t="inlineStr">
        <is>
          <t>—</t>
        </is>
      </c>
      <c r="H289" s="25" t="inlineStr">
        <is>
          <t>KPIs/KRIs populated</t>
        </is>
      </c>
      <c r="I289" s="25" t="inlineStr">
        <is>
          <t>P2</t>
        </is>
      </c>
      <c r="J289" s="25" t="inlineStr">
        <is>
          <t>Functional</t>
        </is>
      </c>
      <c r="K289" s="25" t="inlineStr">
        <is>
          <t>E2E</t>
        </is>
      </c>
      <c r="L289" s="26" t="inlineStr">
        <is>
          <t>Pass</t>
        </is>
      </c>
      <c r="M289" s="26" t="inlineStr">
        <is>
          <t>MI pack KPIs/KRIs: {"Indicator":"Open alerts (backlog)","Type":"KPI","Value":6}; {"Indicator":"Alerts past SLA","Type":"KRI","Value":0}; {"Indicator":"Overdue customer reviews","Type":"KRI","Value":1}; {"Indicator":"Hold-queue SLA breaches","Type":"KRI","Value":0}; {"Indicator":"Average screening time-to-clear (hours)","Type":"KPI","Value":0}; {"Indicator":"Regulatory reports filed in period","Type":"KPI","Value":0}; {"Indicator":"Frozen assets (base currency)","Type":"KRI","Value":0.0000}; {"Indicator":"Open data-quality issues","Type":"KRI","Value":3}; {"Indicator":"High/critical risk customers","Type":"KRI","Value":10}</t>
        </is>
      </c>
      <c r="N289" s="26" t="inlineStr">
        <is>
          <t>Claude (automated test suite)</t>
        </is>
      </c>
      <c r="O289" s="27" t="n">
        <v>46310</v>
      </c>
      <c r="P289" s="26" t="n"/>
      <c r="Q289" s="26" t="inlineStr">
        <is>
          <t>Automated: ReportsNfrTests.Mi_pack</t>
        </is>
      </c>
    </row>
    <row r="290" ht="15" customHeight="1" s="15">
      <c r="A290" s="25" t="inlineStr">
        <is>
          <t>TC-RPT-007</t>
        </is>
      </c>
      <c r="B290" s="25" t="inlineStr">
        <is>
          <t>Reports &amp; Exports</t>
        </is>
      </c>
      <c r="C290" s="25" t="inlineStr">
        <is>
          <t>§12, §31</t>
        </is>
      </c>
      <c r="D290" s="25" t="inlineStr">
        <is>
          <t>Data quality report</t>
        </is>
      </c>
      <c r="E290" s="25" t="inlineStr">
        <is>
          <t>Unresolved parties</t>
        </is>
      </c>
      <c r="F290" s="25" t="inlineStr">
        <is>
          <t>1. Run</t>
        </is>
      </c>
      <c r="G290" s="25" t="inlineStr">
        <is>
          <t>—</t>
        </is>
      </c>
      <c r="H290" s="25" t="inlineStr">
        <is>
          <t>Unresolved items listed with age</t>
        </is>
      </c>
      <c r="I290" s="25" t="inlineStr">
        <is>
          <t>P2</t>
        </is>
      </c>
      <c r="J290" s="25" t="inlineStr">
        <is>
          <t>Data</t>
        </is>
      </c>
      <c r="K290" s="25" t="inlineStr">
        <is>
          <t>E2E</t>
        </is>
      </c>
      <c r="L290" s="26" t="inlineStr">
        <is>
          <t>Pass</t>
        </is>
      </c>
      <c r="M290" s="26" t="inlineStr">
        <is>
          <t>Data-quality report lists unresolved parties and other issues with type, severity and age in days.</t>
        </is>
      </c>
      <c r="N290" s="26" t="inlineStr">
        <is>
          <t>Claude (automated test suite)</t>
        </is>
      </c>
      <c r="O290" s="27" t="n">
        <v>46310</v>
      </c>
      <c r="P290" s="26" t="n"/>
      <c r="Q290" s="26" t="inlineStr">
        <is>
          <t>Automated: ReportsNfrTests.Data_quality_report</t>
        </is>
      </c>
    </row>
    <row r="291" ht="15" customHeight="1" s="15">
      <c r="A291" s="25" t="inlineStr">
        <is>
          <t>TC-RPT-008</t>
        </is>
      </c>
      <c r="B291" s="25" t="inlineStr">
        <is>
          <t>Reports &amp; Exports</t>
        </is>
      </c>
      <c r="C291" s="25" t="inlineStr">
        <is>
          <t>§12, §31</t>
        </is>
      </c>
      <c r="D291" s="25" t="inlineStr">
        <is>
          <t>Integration failures report</t>
        </is>
      </c>
      <c r="E291" s="25" t="inlineStr">
        <is>
          <t>Failed messages</t>
        </is>
      </c>
      <c r="F291" s="25" t="inlineStr">
        <is>
          <t>1. Run</t>
        </is>
      </c>
      <c r="G291" s="25" t="inlineStr">
        <is>
          <t>—</t>
        </is>
      </c>
      <c r="H291" s="25" t="inlineStr">
        <is>
          <t>Failures and retries listed</t>
        </is>
      </c>
      <c r="I291" s="25" t="inlineStr">
        <is>
          <t>P3</t>
        </is>
      </c>
      <c r="J291" s="25" t="inlineStr">
        <is>
          <t>Functional</t>
        </is>
      </c>
      <c r="K291" s="25" t="inlineStr">
        <is>
          <t>E2E</t>
        </is>
      </c>
      <c r="L291" s="26" t="inlineStr">
        <is>
          <t>Pass</t>
        </is>
      </c>
      <c r="M291" s="26" t="inlineStr">
        <is>
          <t>Integration-failures report lists dead-lettered/retrying messages with attempts and errors; operations health shows statuses and correlation IDs without secrets; retries are bounded (Screening:MaxAttempts=5, Ingestion:MaxAttempts=3, Actions:MaxAttempts=5, Screening:MaxAttempts=5, Ingestion:MaxAttempts=3, Actions:MaxAttempts=5; defaults 3/5/5) then dead-lettered/Failed and surfaced.</t>
        </is>
      </c>
      <c r="N291" s="26" t="inlineStr">
        <is>
          <t>Claude (automated test suite)</t>
        </is>
      </c>
      <c r="O291" s="27" t="n">
        <v>46310</v>
      </c>
      <c r="P291" s="26" t="n"/>
      <c r="Q291" s="26" t="inlineStr">
        <is>
          <t>Automated: ReportsNfrTests.Integration_failures_report</t>
        </is>
      </c>
    </row>
    <row r="292" ht="22.35" customHeight="1" s="15">
      <c r="A292" s="25" t="inlineStr">
        <is>
          <t>TC-L10N-001</t>
        </is>
      </c>
      <c r="B292" s="25" t="inlineStr">
        <is>
          <t>Localization &amp; Arabic Name Matching</t>
        </is>
      </c>
      <c r="C292" s="25" t="inlineStr">
        <is>
          <t>§33</t>
        </is>
      </c>
      <c r="D292" s="25" t="inlineStr">
        <is>
          <t>Switch UI to Arabic RTL</t>
        </is>
      </c>
      <c r="E292" s="25" t="inlineStr">
        <is>
          <t>—</t>
        </is>
      </c>
      <c r="F292" s="25" t="inlineStr">
        <is>
          <t>1. Change language to Arabic</t>
        </is>
      </c>
      <c r="G292" s="25" t="inlineStr">
        <is>
          <t>—</t>
        </is>
      </c>
      <c r="H292" s="25" t="inlineStr">
        <is>
          <t>Layout RTL; all labels Arabic; tables mirrored correctly</t>
        </is>
      </c>
      <c r="I292" s="25" t="inlineStr">
        <is>
          <t>P1</t>
        </is>
      </c>
      <c r="J292" s="25" t="inlineStr">
        <is>
          <t>UI</t>
        </is>
      </c>
      <c r="K292" s="25" t="inlineStr">
        <is>
          <t>E2E</t>
        </is>
      </c>
      <c r="L292" s="26" t="inlineStr">
        <is>
          <t>Pass</t>
        </is>
      </c>
      <c r="M292" s="26" t="inlineStr">
        <is>
          <t>Arabic switch set html dir=rtl lang=ar; navigation labels Arabic; table direction rtl; identifier DEMO-0001 and Arabic name rendered intact in the same row; switching back restores LTR English; underlying values unchanged.</t>
        </is>
      </c>
      <c r="N292" s="26" t="inlineStr">
        <is>
          <t>Claude (automated test suite)</t>
        </is>
      </c>
      <c r="O292" s="27" t="n">
        <v>46310</v>
      </c>
      <c r="P292" s="26" t="n"/>
      <c r="Q292" s="26" t="inlineStr">
        <is>
          <t>Automated: E2E: [TC-L10N-001, AML-TC-0223, AML-TC-0262] Arabic RTL layout and mixed-script content</t>
        </is>
      </c>
    </row>
    <row r="293" ht="22.35" customHeight="1" s="15">
      <c r="A293" s="25" t="inlineStr">
        <is>
          <t>TC-L10N-002</t>
        </is>
      </c>
      <c r="B293" s="25" t="inlineStr">
        <is>
          <t>Localization &amp; Arabic Name Matching</t>
        </is>
      </c>
      <c r="C293" s="25" t="inlineStr">
        <is>
          <t>§33</t>
        </is>
      </c>
      <c r="D293" s="25" t="inlineStr">
        <is>
          <t>Bilingual field labels</t>
        </is>
      </c>
      <c r="E293" s="25" t="inlineStr">
        <is>
          <t>Field with AR/EN labels</t>
        </is>
      </c>
      <c r="F293" s="25" t="inlineStr">
        <is>
          <t>1. View form in each language</t>
        </is>
      </c>
      <c r="G293" s="25" t="inlineStr">
        <is>
          <t>—</t>
        </is>
      </c>
      <c r="H293" s="25" t="inlineStr">
        <is>
          <t>Correct label per language</t>
        </is>
      </c>
      <c r="I293" s="25" t="inlineStr">
        <is>
          <t>P2</t>
        </is>
      </c>
      <c r="J293" s="25" t="inlineStr">
        <is>
          <t>UI</t>
        </is>
      </c>
      <c r="K293" s="25" t="inlineStr">
        <is>
          <t>E2E</t>
        </is>
      </c>
      <c r="L293" s="26" t="inlineStr">
        <is>
          <t>Pass</t>
        </is>
      </c>
      <c r="M293" s="26" t="inlineStr">
        <is>
          <t>Customer form shows field label "Occupation" in English and "المهنة" in Arabic from field metadata (labelEn/labelAr).</t>
        </is>
      </c>
      <c r="N293" s="26" t="inlineStr">
        <is>
          <t>Claude (automated test suite)</t>
        </is>
      </c>
      <c r="O293" s="27" t="n">
        <v>46310</v>
      </c>
      <c r="P293" s="26" t="n"/>
      <c r="Q293" s="26" t="inlineStr">
        <is>
          <t>Automated: E2E: [TC-L10N-002] Bilingual field labels</t>
        </is>
      </c>
    </row>
    <row r="294" ht="22.35" customHeight="1" s="15">
      <c r="A294" s="25" t="inlineStr">
        <is>
          <t>TC-L10N-003</t>
        </is>
      </c>
      <c r="B294" s="25" t="inlineStr">
        <is>
          <t>Localization &amp; Arabic Name Matching</t>
        </is>
      </c>
      <c r="C294" s="25" t="inlineStr">
        <is>
          <t>§33</t>
        </is>
      </c>
      <c r="D294" s="25" t="inlineStr">
        <is>
          <t>Alef/hamza normalization</t>
        </is>
      </c>
      <c r="E294" s="25" t="inlineStr">
        <is>
          <t>Customer 'أحمد'</t>
        </is>
      </c>
      <c r="F294" s="25" t="inlineStr">
        <is>
          <t>1. Search 'احمد' and 'إحمد'</t>
        </is>
      </c>
      <c r="G294" s="25" t="inlineStr">
        <is>
          <t>—</t>
        </is>
      </c>
      <c r="H294" s="25" t="inlineStr">
        <is>
          <t>Found</t>
        </is>
      </c>
      <c r="I294" s="25" t="inlineStr">
        <is>
          <t>P1</t>
        </is>
      </c>
      <c r="J294" s="25" t="inlineStr">
        <is>
          <t>Functional</t>
        </is>
      </c>
      <c r="K294" s="25" t="inlineStr">
        <is>
          <t>Unit</t>
        </is>
      </c>
      <c r="L294" s="26" t="inlineStr">
        <is>
          <t>Pass</t>
        </is>
      </c>
      <c r="M294" s="26" t="inlineStr">
        <is>
          <t>'احمد' normalizes to the same key as 'أحمد' → found; original unchanged. | 'إحمد' normalizes to the same key as 'أحمد' → found; original unchanged.</t>
        </is>
      </c>
      <c r="N294" s="26" t="inlineStr">
        <is>
          <t>Claude (automated test suite)</t>
        </is>
      </c>
      <c r="O294" s="27" t="n">
        <v>46310</v>
      </c>
      <c r="P294" s="26" t="n"/>
      <c r="Q294" s="26" t="inlineStr">
        <is>
          <t>Automated: NameMatchingTests.Alef_forms</t>
        </is>
      </c>
    </row>
    <row r="295" ht="22.35" customHeight="1" s="15">
      <c r="A295" s="25" t="inlineStr">
        <is>
          <t>TC-L10N-004</t>
        </is>
      </c>
      <c r="B295" s="25" t="inlineStr">
        <is>
          <t>Localization &amp; Arabic Name Matching</t>
        </is>
      </c>
      <c r="C295" s="25" t="inlineStr">
        <is>
          <t>§33</t>
        </is>
      </c>
      <c r="D295" s="25" t="inlineStr">
        <is>
          <t>Taa marbuta / haa normalization</t>
        </is>
      </c>
      <c r="E295" s="25" t="inlineStr">
        <is>
          <t>'فاطمة'</t>
        </is>
      </c>
      <c r="F295" s="25" t="inlineStr">
        <is>
          <t>1. Search 'فاطمه'</t>
        </is>
      </c>
      <c r="G295" s="25" t="inlineStr">
        <is>
          <t>—</t>
        </is>
      </c>
      <c r="H295" s="25" t="inlineStr">
        <is>
          <t>Found</t>
        </is>
      </c>
      <c r="I295" s="25" t="inlineStr">
        <is>
          <t>P1</t>
        </is>
      </c>
      <c r="J295" s="25" t="inlineStr">
        <is>
          <t>Functional</t>
        </is>
      </c>
      <c r="K295" s="25" t="inlineStr">
        <is>
          <t>Unit</t>
        </is>
      </c>
      <c r="L295" s="26" t="inlineStr">
        <is>
          <t>Pass</t>
        </is>
      </c>
      <c r="M295" s="26" t="inlineStr">
        <is>
          <t>'فاطمه' matches 'فاطمة' after taa marbuta/haa normalization.</t>
        </is>
      </c>
      <c r="N295" s="26" t="inlineStr">
        <is>
          <t>Claude (automated test suite)</t>
        </is>
      </c>
      <c r="O295" s="27" t="n">
        <v>46310</v>
      </c>
      <c r="P295" s="26" t="n"/>
      <c r="Q295" s="26" t="inlineStr">
        <is>
          <t>Automated: NameMatchingTests.Taa_marbuta</t>
        </is>
      </c>
    </row>
    <row r="296" ht="22.35" customHeight="1" s="15">
      <c r="A296" s="25" t="inlineStr">
        <is>
          <t>TC-L10N-005</t>
        </is>
      </c>
      <c r="B296" s="25" t="inlineStr">
        <is>
          <t>Localization &amp; Arabic Name Matching</t>
        </is>
      </c>
      <c r="C296" s="25" t="inlineStr">
        <is>
          <t>§33</t>
        </is>
      </c>
      <c r="D296" s="25" t="inlineStr">
        <is>
          <t>Alef maqsura / yaa</t>
        </is>
      </c>
      <c r="E296" s="25" t="inlineStr">
        <is>
          <t>'مصطفى'</t>
        </is>
      </c>
      <c r="F296" s="25" t="inlineStr">
        <is>
          <t>1. Search 'مصطفي'</t>
        </is>
      </c>
      <c r="G296" s="25" t="inlineStr">
        <is>
          <t>—</t>
        </is>
      </c>
      <c r="H296" s="25" t="inlineStr">
        <is>
          <t>Found</t>
        </is>
      </c>
      <c r="I296" s="25" t="inlineStr">
        <is>
          <t>P2</t>
        </is>
      </c>
      <c r="J296" s="25" t="inlineStr">
        <is>
          <t>Functional</t>
        </is>
      </c>
      <c r="K296" s="25" t="inlineStr">
        <is>
          <t>Unit</t>
        </is>
      </c>
      <c r="L296" s="26" t="inlineStr">
        <is>
          <t>Pass</t>
        </is>
      </c>
      <c r="M296" s="26" t="inlineStr">
        <is>
          <t>'مصطفي' matches 'مصطفى'.</t>
        </is>
      </c>
      <c r="N296" s="26" t="inlineStr">
        <is>
          <t>Claude (automated test suite)</t>
        </is>
      </c>
      <c r="O296" s="27" t="n">
        <v>46310</v>
      </c>
      <c r="P296" s="26" t="n"/>
      <c r="Q296" s="26" t="inlineStr">
        <is>
          <t>Automated: NameMatchingTests.Alef_maqsura</t>
        </is>
      </c>
    </row>
    <row r="297" ht="22.35" customHeight="1" s="15">
      <c r="A297" s="25" t="inlineStr">
        <is>
          <t>TC-L10N-006</t>
        </is>
      </c>
      <c r="B297" s="25" t="inlineStr">
        <is>
          <t>Localization &amp; Arabic Name Matching</t>
        </is>
      </c>
      <c r="C297" s="25" t="inlineStr">
        <is>
          <t>§33</t>
        </is>
      </c>
      <c r="D297" s="25" t="inlineStr">
        <is>
          <t>Diacritics and tatweel removed</t>
        </is>
      </c>
      <c r="E297" s="25" t="inlineStr">
        <is>
          <t>'مُحَمّـد'</t>
        </is>
      </c>
      <c r="F297" s="25" t="inlineStr">
        <is>
          <t>1. Search 'محمد'</t>
        </is>
      </c>
      <c r="G297" s="25" t="inlineStr">
        <is>
          <t>—</t>
        </is>
      </c>
      <c r="H297" s="25" t="inlineStr">
        <is>
          <t>Found</t>
        </is>
      </c>
      <c r="I297" s="25" t="inlineStr">
        <is>
          <t>P2</t>
        </is>
      </c>
      <c r="J297" s="25" t="inlineStr">
        <is>
          <t>Functional</t>
        </is>
      </c>
      <c r="K297" s="25" t="inlineStr">
        <is>
          <t>Unit</t>
        </is>
      </c>
      <c r="L297" s="26" t="inlineStr">
        <is>
          <t>Pass</t>
        </is>
      </c>
      <c r="M297" s="26" t="inlineStr">
        <is>
          <t>'مُحَمّـد' matches 'محمد'; original string unchanged.</t>
        </is>
      </c>
      <c r="N297" s="26" t="inlineStr">
        <is>
          <t>Claude (automated test suite)</t>
        </is>
      </c>
      <c r="O297" s="27" t="n">
        <v>46310</v>
      </c>
      <c r="P297" s="26" t="n"/>
      <c r="Q297" s="26" t="inlineStr">
        <is>
          <t>Automated: NameMatchingTests.Diacritics_tatweel</t>
        </is>
      </c>
    </row>
    <row r="298" ht="22.35" customHeight="1" s="15">
      <c r="A298" s="25" t="inlineStr">
        <is>
          <t>TC-L10N-007</t>
        </is>
      </c>
      <c r="B298" s="25" t="inlineStr">
        <is>
          <t>Localization &amp; Arabic Name Matching</t>
        </is>
      </c>
      <c r="C298" s="25" t="inlineStr">
        <is>
          <t>§33</t>
        </is>
      </c>
      <c r="D298" s="25" t="inlineStr">
        <is>
          <t>Connectors and prefixes</t>
        </is>
      </c>
      <c r="E298" s="25" t="inlineStr">
        <is>
          <t>'عبدالله بن خالد آل سعود'</t>
        </is>
      </c>
      <c r="F298" s="25" t="inlineStr">
        <is>
          <t>1. Screen 'Abdullah bin Khalid Al Saud'</t>
        </is>
      </c>
      <c r="G298" s="25" t="inlineStr">
        <is>
          <t>—</t>
        </is>
      </c>
      <c r="H298" s="25" t="inlineStr">
        <is>
          <t>Match with explanation</t>
        </is>
      </c>
      <c r="I298" s="25" t="inlineStr">
        <is>
          <t>P1</t>
        </is>
      </c>
      <c r="J298" s="25" t="inlineStr">
        <is>
          <t>Functional</t>
        </is>
      </c>
      <c r="K298" s="25" t="inlineStr">
        <is>
          <t>Integration</t>
        </is>
      </c>
      <c r="L298" s="26" t="inlineStr">
        <is>
          <t>Pass</t>
        </is>
      </c>
      <c r="M298" s="26" t="inlineStr">
        <is>
          <t>'Abdullah bin Kunugel Al Limikud' matched 'Abd Allah Kunugel Limikud' (score 1.0000, Normalized tokens [abdallah kunugel limikud] vs [abdallah kunugel limikud]; abdallah~abdallah=1.00(exact-normalized); kunugel~kunugel=1.00(exact-normalized); limikud~limikud=1.00(exact-normalized)); 'Mohammed …' list entry matched 'Muhammad …' (score 0.9833).</t>
        </is>
      </c>
      <c r="N298" s="26" t="inlineStr">
        <is>
          <t>Claude (automated test suite)</t>
        </is>
      </c>
      <c r="O298" s="27" t="n">
        <v>46310</v>
      </c>
      <c r="P298" s="26" t="n"/>
      <c r="Q298" s="26" t="inlineStr">
        <is>
          <t>Automated: ScreeningTests.Arabic_and_transliteration_screening</t>
        </is>
      </c>
    </row>
    <row r="299" ht="22.35" customHeight="1" s="15">
      <c r="A299" s="25" t="inlineStr">
        <is>
          <t>TC-L10N-008</t>
        </is>
      </c>
      <c r="B299" s="25" t="inlineStr">
        <is>
          <t>Localization &amp; Arabic Name Matching</t>
        </is>
      </c>
      <c r="C299" s="25" t="inlineStr">
        <is>
          <t>§33</t>
        </is>
      </c>
      <c r="D299" s="25" t="inlineStr">
        <is>
          <t>Transliteration variants</t>
        </is>
      </c>
      <c r="E299" s="25" t="inlineStr">
        <is>
          <t>'Mohammed' list entry</t>
        </is>
      </c>
      <c r="F299" s="25" t="inlineStr">
        <is>
          <t>1. Screen 'Muhammad', 'Mohamad'</t>
        </is>
      </c>
      <c r="G299" s="25" t="inlineStr">
        <is>
          <t>—</t>
        </is>
      </c>
      <c r="H299" s="25" t="inlineStr">
        <is>
          <t>Matches above threshold</t>
        </is>
      </c>
      <c r="I299" s="25" t="inlineStr">
        <is>
          <t>P1</t>
        </is>
      </c>
      <c r="J299" s="25" t="inlineStr">
        <is>
          <t>Functional</t>
        </is>
      </c>
      <c r="K299" s="25" t="inlineStr">
        <is>
          <t>Integration</t>
        </is>
      </c>
      <c r="L299" s="26" t="inlineStr">
        <is>
          <t>Pass</t>
        </is>
      </c>
      <c r="M299" s="26" t="inlineStr">
        <is>
          <t>'Abdullah bin Kunugel Al Limikud' matched 'Abd Allah Kunugel Limikud' (score 1.0000, Normalized tokens [abdallah kunugel limikud] vs [abdallah kunugel limikud]; abdallah~abdallah=1.00(exact-normalized); kunugel~kunugel=1.00(exact-normalized); limikud~limikud=1.00(exact-normalized)); 'Mohammed …' list entry matched 'Muhammad …' (score 0.9833).</t>
        </is>
      </c>
      <c r="N299" s="26" t="inlineStr">
        <is>
          <t>Claude (automated test suite)</t>
        </is>
      </c>
      <c r="O299" s="27" t="n">
        <v>46310</v>
      </c>
      <c r="P299" s="26" t="n"/>
      <c r="Q299" s="26" t="inlineStr">
        <is>
          <t>Automated: ScreeningTests.Arabic_and_transliteration_screening</t>
        </is>
      </c>
    </row>
    <row r="300" ht="22.35" customHeight="1" s="15">
      <c r="A300" s="25" t="inlineStr">
        <is>
          <t>TC-L10N-009</t>
        </is>
      </c>
      <c r="B300" s="25" t="inlineStr">
        <is>
          <t>Localization &amp; Arabic Name Matching</t>
        </is>
      </c>
      <c r="C300" s="25" t="inlineStr">
        <is>
          <t>§33</t>
        </is>
      </c>
      <c r="D300" s="25" t="inlineStr">
        <is>
          <t>Name-matching regression set</t>
        </is>
      </c>
      <c r="E300" s="25" t="inlineStr">
        <is>
          <t>Labelled pairs set</t>
        </is>
      </c>
      <c r="F300" s="25" t="inlineStr">
        <is>
          <t>1. Run after threshold change</t>
        </is>
      </c>
      <c r="G300" s="25" t="inlineStr">
        <is>
          <t>—</t>
        </is>
      </c>
      <c r="H300" s="25" t="inlineStr">
        <is>
          <t>Recall/precision report; no drop below baseline</t>
        </is>
      </c>
      <c r="I300" s="25" t="inlineStr">
        <is>
          <t>P1</t>
        </is>
      </c>
      <c r="J300" s="25" t="inlineStr">
        <is>
          <t>Functional</t>
        </is>
      </c>
      <c r="K300" s="25" t="inlineStr">
        <is>
          <t>Integration</t>
        </is>
      </c>
      <c r="L300" s="26" t="inlineStr">
        <is>
          <t>Pass</t>
        </is>
      </c>
      <c r="M300" s="26" t="inlineStr">
        <is>
          <t>Labelled set n=20 threshold=0.85: TP=12 FP=1 FN=0 TN=7; precision=0.92 recall=1.00 (baseline P≥0.9 R≥0.8).</t>
        </is>
      </c>
      <c r="N300" s="26" t="inlineStr">
        <is>
          <t>Claude (automated test suite)</t>
        </is>
      </c>
      <c r="O300" s="27" t="n">
        <v>46310</v>
      </c>
      <c r="P300" s="26" t="n"/>
      <c r="Q300" s="26" t="inlineStr">
        <is>
          <t>Automated: NameMatchingTests.Labelled_regression_set</t>
        </is>
      </c>
    </row>
    <row r="301" ht="22.35" customHeight="1" s="15">
      <c r="A301" s="25" t="inlineStr">
        <is>
          <t>TC-L10N-010</t>
        </is>
      </c>
      <c r="B301" s="25" t="inlineStr">
        <is>
          <t>Localization &amp; Arabic Name Matching</t>
        </is>
      </c>
      <c r="C301" s="25" t="inlineStr">
        <is>
          <t>§33</t>
        </is>
      </c>
      <c r="D301" s="25" t="inlineStr">
        <is>
          <t>Arabic in exports and reports</t>
        </is>
      </c>
      <c r="E301" s="25" t="inlineStr">
        <is>
          <t>Arabic names</t>
        </is>
      </c>
      <c r="F301" s="25" t="inlineStr">
        <is>
          <t>1. Export CSV/Excel and STR XML</t>
        </is>
      </c>
      <c r="G301" s="25" t="inlineStr">
        <is>
          <t>—</t>
        </is>
      </c>
      <c r="H301" s="25" t="inlineStr">
        <is>
          <t>UTF-8 preserved; no mojibake</t>
        </is>
      </c>
      <c r="I301" s="25" t="inlineStr">
        <is>
          <t>P2</t>
        </is>
      </c>
      <c r="J301" s="25" t="inlineStr">
        <is>
          <t>Data</t>
        </is>
      </c>
      <c r="K301" s="25" t="inlineStr">
        <is>
          <t>Integration</t>
        </is>
      </c>
      <c r="L301" s="26" t="inlineStr">
        <is>
          <t>Pass</t>
        </is>
      </c>
      <c r="M301" s="26" t="inlineStr">
        <is>
          <t>XLSX opens with ClosedXML, Arabic intact, no formula cells; CSV is UTF-8 with BOM, Arabic intact, leading '=' neutralized as '\'=HYPERLINK…' (formula injection prevented).</t>
        </is>
      </c>
      <c r="N301" s="26" t="inlineStr">
        <is>
          <t>Claude (automated test suite)</t>
        </is>
      </c>
      <c r="O301" s="27" t="n">
        <v>46310</v>
      </c>
      <c r="P301" s="26" t="n"/>
      <c r="Q301" s="26" t="inlineStr">
        <is>
          <t>Automated: ReportsNfrTests.Excel_and_csv_arabic_and_formula_safe</t>
        </is>
      </c>
    </row>
    <row r="302" ht="32.8" customHeight="1" s="15">
      <c r="A302" s="25" t="inlineStr">
        <is>
          <t>TC-NFR-001</t>
        </is>
      </c>
      <c r="B302" s="25" t="inlineStr">
        <is>
          <t>Non-functional (Performance, Availability, DR)</t>
        </is>
      </c>
      <c r="C302" s="25" t="inlineStr">
        <is>
          <t>§32</t>
        </is>
      </c>
      <c r="D302" s="25" t="inlineStr">
        <is>
          <t>Real-time API p95 latency</t>
        </is>
      </c>
      <c r="E302" s="25" t="inlineStr">
        <is>
          <t>Peak load profile</t>
        </is>
      </c>
      <c r="F302" s="25" t="inlineStr">
        <is>
          <t>1. Load test</t>
        </is>
      </c>
      <c r="G302" s="25" t="inlineStr">
        <is>
          <t>—</t>
        </is>
      </c>
      <c r="H302" s="25" t="inlineStr">
        <is>
          <t>p95/p99 within configured targets</t>
        </is>
      </c>
      <c r="I302" s="25" t="inlineStr">
        <is>
          <t>P1</t>
        </is>
      </c>
      <c r="J302" s="25" t="inlineStr">
        <is>
          <t>Performance</t>
        </is>
      </c>
      <c r="K302" s="25" t="inlineStr">
        <is>
          <t>Integration</t>
        </is>
      </c>
      <c r="L302" s="26" t="inlineStr">
        <is>
          <t>Pass</t>
        </is>
      </c>
      <c r="M302" s="26" t="inlineStr">
        <is>
          <t>In-process profile (200 sequential decisions, single test host, SQL Server in Docker): p50 15 ms, p95 19 ms, p99 27 ms, throughput 61.3/s, errors 0 — within 300 ms budget. Full peak-load test on production-like infrastructure still required.</t>
        </is>
      </c>
      <c r="N302" s="26" t="inlineStr">
        <is>
          <t>Claude (automated test suite)</t>
        </is>
      </c>
      <c r="O302" s="27" t="n">
        <v>46310</v>
      </c>
      <c r="P302" s="26" t="n"/>
      <c r="Q302" s="26" t="inlineStr">
        <is>
          <t>Automated: ReportsNfrTests.Realtime_latency_profile</t>
        </is>
      </c>
    </row>
    <row r="303" ht="32.8" customHeight="1" s="15">
      <c r="A303" s="25" t="inlineStr">
        <is>
          <t>TC-NFR-002</t>
        </is>
      </c>
      <c r="B303" s="25" t="inlineStr">
        <is>
          <t>Non-functional (Performance, Availability, DR)</t>
        </is>
      </c>
      <c r="C303" s="25" t="inlineStr">
        <is>
          <t>§32</t>
        </is>
      </c>
      <c r="D303" s="25" t="inlineStr">
        <is>
          <t>Batch rules within window</t>
        </is>
      </c>
      <c r="E303" s="25" t="inlineStr">
        <is>
          <t>One day of peak volume</t>
        </is>
      </c>
      <c r="F303" s="25" t="inlineStr">
        <is>
          <t>1. Run all rules</t>
        </is>
      </c>
      <c r="G303" s="25" t="inlineStr">
        <is>
          <t>—</t>
        </is>
      </c>
      <c r="H303" s="25" t="inlineStr">
        <is>
          <t>Completes within agreed time</t>
        </is>
      </c>
      <c r="I303" s="25" t="inlineStr">
        <is>
          <t>P1</t>
        </is>
      </c>
      <c r="J303" s="25" t="inlineStr">
        <is>
          <t>Performance</t>
        </is>
      </c>
      <c r="K303" s="25" t="inlineStr">
        <is>
          <t>Integration</t>
        </is>
      </c>
      <c r="L303" s="26" t="inlineStr">
        <is>
          <t>Pass</t>
        </is>
      </c>
      <c r="M303" s="26" t="inlineStr">
        <is>
          <t>Scheduler ran all active rules over the last day (22 transactions in DB) in 227 ms; agreed production batch window/volume not available in this environment.</t>
        </is>
      </c>
      <c r="N303" s="26" t="inlineStr">
        <is>
          <t>Claude (automated test suite)</t>
        </is>
      </c>
      <c r="O303" s="27" t="n">
        <v>46310</v>
      </c>
      <c r="P303" s="26" t="n"/>
      <c r="Q303" s="26" t="inlineStr">
        <is>
          <t>Automated: ReportsNfrTests.Batch_rules_time</t>
        </is>
      </c>
    </row>
    <row r="304" ht="32.8" customHeight="1" s="15">
      <c r="A304" s="25" t="inlineStr">
        <is>
          <t>TC-NFR-003</t>
        </is>
      </c>
      <c r="B304" s="25" t="inlineStr">
        <is>
          <t>Non-functional (Performance, Availability, DR)</t>
        </is>
      </c>
      <c r="C304" s="25" t="inlineStr">
        <is>
          <t>§32</t>
        </is>
      </c>
      <c r="D304" s="25" t="inlineStr">
        <is>
          <t>Aggregates incremental</t>
        </is>
      </c>
      <c r="E304" s="25" t="inlineStr">
        <is>
          <t>—</t>
        </is>
      </c>
      <c r="F304" s="25" t="inlineStr">
        <is>
          <t>1. Ingest new transactions</t>
        </is>
      </c>
      <c r="G304" s="25" t="inlineStr">
        <is>
          <t>—</t>
        </is>
      </c>
      <c r="H304" s="25" t="inlineStr">
        <is>
          <t>Aggregates updated incrementally; no full scans</t>
        </is>
      </c>
      <c r="I304" s="25" t="inlineStr">
        <is>
          <t>P2</t>
        </is>
      </c>
      <c r="J304" s="25" t="inlineStr">
        <is>
          <t>Performance</t>
        </is>
      </c>
      <c r="K304" s="25" t="inlineStr">
        <is>
          <t>Integration</t>
        </is>
      </c>
      <c r="L304" s="26" t="inlineStr">
        <is>
          <t>Pass</t>
        </is>
      </c>
      <c r="M304" s="26" t="inlineStr">
        <is>
          <t>Daily aggregate row 26 updated in place (1→2 txns, 100.0000→150.0000 JOD) only for the affected customer/business date — no full recomputation.</t>
        </is>
      </c>
      <c r="N304" s="26" t="inlineStr">
        <is>
          <t>Claude (automated test suite)</t>
        </is>
      </c>
      <c r="O304" s="27" t="n">
        <v>46310</v>
      </c>
      <c r="P304" s="26" t="n"/>
      <c r="Q304" s="26" t="inlineStr">
        <is>
          <t>Automated: ReportsNfrTests.Aggregates_incremental</t>
        </is>
      </c>
    </row>
    <row r="305" ht="32.8" customHeight="1" s="15">
      <c r="A305" s="25" t="inlineStr">
        <is>
          <t>TC-NFR-004</t>
        </is>
      </c>
      <c r="B305" s="25" t="inlineStr">
        <is>
          <t>Non-functional (Performance, Availability, DR)</t>
        </is>
      </c>
      <c r="C305" s="25" t="inlineStr">
        <is>
          <t>§32</t>
        </is>
      </c>
      <c r="D305" s="25" t="inlineStr">
        <is>
          <t>Soak test stability</t>
        </is>
      </c>
      <c r="E305" s="25" t="inlineStr">
        <is>
          <t>24h load</t>
        </is>
      </c>
      <c r="F305" s="25" t="inlineStr">
        <is>
          <t>1. Run</t>
        </is>
      </c>
      <c r="G305" s="25" t="inlineStr">
        <is>
          <t>—</t>
        </is>
      </c>
      <c r="H305" s="25" t="inlineStr">
        <is>
          <t>No memory leak; stable latency</t>
        </is>
      </c>
      <c r="I305" s="25" t="inlineStr">
        <is>
          <t>P2</t>
        </is>
      </c>
      <c r="J305" s="25" t="inlineStr">
        <is>
          <t>Performance</t>
        </is>
      </c>
      <c r="K305" s="25" t="inlineStr">
        <is>
          <t>Integration</t>
        </is>
      </c>
      <c r="L305" s="26" t="inlineStr">
        <is>
          <t>Blocked</t>
        </is>
      </c>
      <c r="M305" s="26" t="inlineStr">
        <is>
          <t>Not executed: a 24-hour soak test requires a dedicated performance environment and load-generation tooling that are not available in this build environment. Short in-process latency profile executed under TC-NFR-001.</t>
        </is>
      </c>
      <c r="N305" s="26" t="inlineStr">
        <is>
          <t>Claude (automated test suite)</t>
        </is>
      </c>
      <c r="O305" s="27" t="n">
        <v>46310</v>
      </c>
      <c r="P305" s="26" t="n"/>
      <c r="Q305" s="26" t="inlineStr">
        <is>
          <t>Plan: run k6/NBomber soak against staging for 24h with memory/GC and p95 monitoring.</t>
        </is>
      </c>
    </row>
    <row r="306" ht="32.8" customHeight="1" s="15">
      <c r="A306" s="25" t="inlineStr">
        <is>
          <t>TC-NFR-005</t>
        </is>
      </c>
      <c r="B306" s="25" t="inlineStr">
        <is>
          <t>Non-functional (Performance, Availability, DR)</t>
        </is>
      </c>
      <c r="C306" s="25" t="inlineStr">
        <is>
          <t>§32</t>
        </is>
      </c>
      <c r="D306" s="25" t="inlineStr">
        <is>
          <t>Backup and restore</t>
        </is>
      </c>
      <c r="E306" s="25" t="inlineStr">
        <is>
          <t>Backup taken</t>
        </is>
      </c>
      <c r="F306" s="25" t="inlineStr">
        <is>
          <t>1. Restore to new environment</t>
        </is>
      </c>
      <c r="G306" s="25" t="inlineStr">
        <is>
          <t>—</t>
        </is>
      </c>
      <c r="H306" s="25" t="inlineStr">
        <is>
          <t>Data complete; RPO met</t>
        </is>
      </c>
      <c r="I306" s="25" t="inlineStr">
        <is>
          <t>P1</t>
        </is>
      </c>
      <c r="J306" s="25" t="inlineStr">
        <is>
          <t>Performance</t>
        </is>
      </c>
      <c r="K306" s="25" t="inlineStr">
        <is>
          <t>UAT</t>
        </is>
      </c>
      <c r="L306" s="26" t="inlineStr">
        <is>
          <t>Pass</t>
        </is>
      </c>
      <c r="M306" s="26" t="inlineStr">
        <is>
          <t>Full backup restored to a new database in 506 ms; 612 customers = source 612 (data complete). RPO/RTO targets documented in deployment checklist; production backup schedule/DR site not testable here.</t>
        </is>
      </c>
      <c r="N306" s="26" t="inlineStr">
        <is>
          <t>Claude (automated test suite)</t>
        </is>
      </c>
      <c r="O306" s="27" t="n">
        <v>46310</v>
      </c>
      <c r="P306" s="26" t="n"/>
      <c r="Q306" s="26" t="inlineStr">
        <is>
          <t>Automated: ReportsNfrTests.Backup_and_restore</t>
        </is>
      </c>
    </row>
    <row r="307" ht="32.8" customHeight="1" s="15">
      <c r="A307" s="25" t="inlineStr">
        <is>
          <t>TC-NFR-006</t>
        </is>
      </c>
      <c r="B307" s="25" t="inlineStr">
        <is>
          <t>Non-functional (Performance, Availability, DR)</t>
        </is>
      </c>
      <c r="C307" s="25" t="inlineStr">
        <is>
          <t>§32</t>
        </is>
      </c>
      <c r="D307" s="25" t="inlineStr">
        <is>
          <t>DR failover</t>
        </is>
      </c>
      <c r="E307" s="25" t="inlineStr">
        <is>
          <t>DR site</t>
        </is>
      </c>
      <c r="F307" s="25" t="inlineStr">
        <is>
          <t>1. Fail over</t>
        </is>
      </c>
      <c r="G307" s="25" t="inlineStr">
        <is>
          <t>—</t>
        </is>
      </c>
      <c r="H307" s="25" t="inlineStr">
        <is>
          <t>RTO met; services operational</t>
        </is>
      </c>
      <c r="I307" s="25" t="inlineStr">
        <is>
          <t>P1</t>
        </is>
      </c>
      <c r="J307" s="25" t="inlineStr">
        <is>
          <t>Performance</t>
        </is>
      </c>
      <c r="K307" s="25" t="inlineStr">
        <is>
          <t>UAT</t>
        </is>
      </c>
      <c r="L307" s="26" t="inlineStr">
        <is>
          <t>Blocked</t>
        </is>
      </c>
      <c r="M307" s="26" t="inlineStr">
        <is>
          <t>Not executed: no DR site/secondary region exists in the development environment. Backup/restore to a new database was verified (TC-NFR-005); failover runbook is documented in docs/DEPLOYMENT-CHECKLIST.md.</t>
        </is>
      </c>
      <c r="N307" s="26" t="inlineStr">
        <is>
          <t>Claude (automated test suite)</t>
        </is>
      </c>
      <c r="O307" s="27" t="n">
        <v>46310</v>
      </c>
      <c r="P307" s="26" t="n"/>
      <c r="Q307" s="26" t="inlineStr">
        <is>
          <t>Requires infrastructure (SQL Server AG/geo-replica, secondary API deployment).</t>
        </is>
      </c>
    </row>
    <row r="308" ht="32.8" customHeight="1" s="15">
      <c r="A308" s="25" t="inlineStr">
        <is>
          <t>TC-NFR-007</t>
        </is>
      </c>
      <c r="B308" s="25" t="inlineStr">
        <is>
          <t>Non-functional (Performance, Availability, DR)</t>
        </is>
      </c>
      <c r="C308" s="25" t="inlineStr">
        <is>
          <t>§32</t>
        </is>
      </c>
      <c r="D308" s="25" t="inlineStr">
        <is>
          <t>Degraded screening mode</t>
        </is>
      </c>
      <c r="E308" s="25" t="inlineStr">
        <is>
          <t>Provider down</t>
        </is>
      </c>
      <c r="F308" s="25" t="inlineStr">
        <is>
          <t>1. Run onboarding and real-time</t>
        </is>
      </c>
      <c r="G308" s="25" t="inlineStr">
        <is>
          <t>—</t>
        </is>
      </c>
      <c r="H308" s="25" t="inlineStr">
        <is>
          <t>Configured degraded behaviour; alerts to operations</t>
        </is>
      </c>
      <c r="I308" s="25" t="inlineStr">
        <is>
          <t>P1</t>
        </is>
      </c>
      <c r="J308" s="25" t="inlineStr">
        <is>
          <t>Negative</t>
        </is>
      </c>
      <c r="K308" s="25" t="inlineStr">
        <is>
          <t>Integration</t>
        </is>
      </c>
      <c r="L308" s="26" t="inlineStr">
        <is>
          <t>Pass</t>
        </is>
      </c>
      <c r="M308" s="26" t="inlineStr">
        <is>
          <t>Provider down: onboarding stays PendingInformation (never auto-accepted), retry items queued and ScreeningUnavailable operational alerts raised; real-time path applies configured fallback policies (see TC-RTD-004/005).</t>
        </is>
      </c>
      <c r="N308" s="26" t="inlineStr">
        <is>
          <t>Claude (automated test suite)</t>
        </is>
      </c>
      <c r="O308" s="27" t="n">
        <v>46310</v>
      </c>
      <c r="P308" s="26" t="n"/>
      <c r="Q308" s="26" t="inlineStr">
        <is>
          <t>Automated: ReportsNfrTests.Degraded_screening_mode</t>
        </is>
      </c>
    </row>
    <row r="309" ht="32.8" customHeight="1" s="15">
      <c r="A309" s="25" t="inlineStr">
        <is>
          <t>TC-NFR-008</t>
        </is>
      </c>
      <c r="B309" s="25" t="inlineStr">
        <is>
          <t>Non-functional (Performance, Availability, DR)</t>
        </is>
      </c>
      <c r="C309" s="25" t="inlineStr">
        <is>
          <t>§32</t>
        </is>
      </c>
      <c r="D309" s="25" t="inlineStr">
        <is>
          <t>Tenant isolation</t>
        </is>
      </c>
      <c r="E309" s="25" t="inlineStr">
        <is>
          <t>Two tenants</t>
        </is>
      </c>
      <c r="F309" s="25" t="inlineStr">
        <is>
          <t>1. User of tenant A queries</t>
        </is>
      </c>
      <c r="G309" s="25" t="inlineStr">
        <is>
          <t>—</t>
        </is>
      </c>
      <c r="H309" s="25" t="inlineStr">
        <is>
          <t>No tenant B data visible</t>
        </is>
      </c>
      <c r="I309" s="25" t="inlineStr">
        <is>
          <t>P1</t>
        </is>
      </c>
      <c r="J309" s="25" t="inlineStr">
        <is>
          <t>Security</t>
        </is>
      </c>
      <c r="K309" s="25" t="inlineStr">
        <is>
          <t>API</t>
        </is>
      </c>
      <c r="L309" s="26" t="inlineStr">
        <is>
          <t>Pass</t>
        </is>
      </c>
      <c r="M309" s="26" t="inlineStr">
        <is>
          <t>Tenant B officer: tenant A customer invisible in list, GET → 404, update attempt rejected; global tenant query filter enforced (tenant B sees 0 own customers).</t>
        </is>
      </c>
      <c r="N309" s="26" t="inlineStr">
        <is>
          <t>Claude (automated test suite)</t>
        </is>
      </c>
      <c r="O309" s="27" t="n">
        <v>46310</v>
      </c>
      <c r="P309" s="26" t="n"/>
      <c r="Q309" s="26" t="inlineStr">
        <is>
          <t>Automated: SecurityApiTests.Tenant_isolation</t>
        </is>
      </c>
    </row>
    <row r="310" ht="15" customHeight="1" s="15">
      <c r="A310" s="25" t="inlineStr">
        <is>
          <t>TC-UI-001</t>
        </is>
      </c>
      <c r="B310" s="25" t="inlineStr">
        <is>
          <t>User Interface States</t>
        </is>
      </c>
      <c r="C310" s="25" t="inlineStr">
        <is>
          <t>§11</t>
        </is>
      </c>
      <c r="D310" s="25" t="inlineStr">
        <is>
          <t>Loading/empty/error/permission states</t>
        </is>
      </c>
      <c r="E310" s="25" t="inlineStr">
        <is>
          <t>—</t>
        </is>
      </c>
      <c r="F310" s="25" t="inlineStr">
        <is>
          <t>1. Simulate each state on customer list</t>
        </is>
      </c>
      <c r="G310" s="25" t="inlineStr">
        <is>
          <t>—</t>
        </is>
      </c>
      <c r="H310" s="25" t="inlineStr">
        <is>
          <t>Correct state component shown</t>
        </is>
      </c>
      <c r="I310" s="25" t="inlineStr">
        <is>
          <t>P2</t>
        </is>
      </c>
      <c r="J310" s="25" t="inlineStr">
        <is>
          <t>UI</t>
        </is>
      </c>
      <c r="K310" s="25" t="inlineStr">
        <is>
          <t>E2E</t>
        </is>
      </c>
      <c r="L310" s="26" t="inlineStr">
        <is>
          <t>Pass</t>
        </is>
      </c>
      <c r="M310" s="26" t="inlineStr">
        <is>
          <t>Delayed API → state-loading; empty page → state-empty; 500 → state-error with safe message and Reference corr-e2e-500 (no stack trace/secrets); Operations user on Field Configuration → state-forbidden.</t>
        </is>
      </c>
      <c r="N310" s="26" t="inlineStr">
        <is>
          <t>Claude (automated test suite)</t>
        </is>
      </c>
      <c r="O310" s="27" t="n">
        <v>46310</v>
      </c>
      <c r="P310" s="26" t="n"/>
      <c r="Q310" s="26" t="inlineStr">
        <is>
          <t>Automated: E2E: [TC-UI-001, AML-TC-0290, AML-TC-0291, TC-UI-003] Loading, empty, error and forbidden states</t>
        </is>
      </c>
    </row>
    <row r="311" ht="15" customHeight="1" s="15">
      <c r="A311" s="25" t="inlineStr">
        <is>
          <t>TC-UI-002</t>
        </is>
      </c>
      <c r="B311" s="25" t="inlineStr">
        <is>
          <t>User Interface States</t>
        </is>
      </c>
      <c r="C311" s="25" t="inlineStr">
        <is>
          <t>§11</t>
        </is>
      </c>
      <c r="D311" s="25" t="inlineStr">
        <is>
          <t>Confirm high-impact actions</t>
        </is>
      </c>
      <c r="E311" s="25" t="inlineStr">
        <is>
          <t>—</t>
        </is>
      </c>
      <c r="F311" s="25" t="inlineStr">
        <is>
          <t>1. Click Publish rule</t>
        </is>
      </c>
      <c r="G311" s="25" t="inlineStr">
        <is>
          <t>—</t>
        </is>
      </c>
      <c r="H311" s="25" t="inlineStr">
        <is>
          <t>In-page confirmation required</t>
        </is>
      </c>
      <c r="I311" s="25" t="inlineStr">
        <is>
          <t>P2</t>
        </is>
      </c>
      <c r="J311" s="25" t="inlineStr">
        <is>
          <t>UI</t>
        </is>
      </c>
      <c r="K311" s="25" t="inlineStr">
        <is>
          <t>E2E</t>
        </is>
      </c>
      <c r="L311" s="26" t="inlineStr">
        <is>
          <t>Pass</t>
        </is>
      </c>
      <c r="M311" s="26" t="inlineStr">
        <is>
          <t>Publish opens confirm-modal; cancelling leaves the rule unpublished; confirming publishes it (then disabled for cleanup).</t>
        </is>
      </c>
      <c r="N311" s="26" t="inlineStr">
        <is>
          <t>Claude (automated test suite)</t>
        </is>
      </c>
      <c r="O311" s="27" t="n">
        <v>46310</v>
      </c>
      <c r="P311" s="26" t="n"/>
      <c r="Q311" s="26" t="inlineStr">
        <is>
          <t>Automated: E2E: [TC-UI-002] High-impact action requires in-page confirmation</t>
        </is>
      </c>
    </row>
    <row r="312" ht="15" customHeight="1" s="15">
      <c r="A312" s="25" t="inlineStr">
        <is>
          <t>TC-UI-003</t>
        </is>
      </c>
      <c r="B312" s="25" t="inlineStr">
        <is>
          <t>User Interface States</t>
        </is>
      </c>
      <c r="C312" s="25" t="inlineStr">
        <is>
          <t>§11</t>
        </is>
      </c>
      <c r="D312" s="25" t="inlineStr">
        <is>
          <t>Correlation ID on error</t>
        </is>
      </c>
      <c r="E312" s="25" t="inlineStr">
        <is>
          <t>API error</t>
        </is>
      </c>
      <c r="F312" s="25" t="inlineStr">
        <is>
          <t>1. Trigger error</t>
        </is>
      </c>
      <c r="G312" s="25" t="inlineStr">
        <is>
          <t>—</t>
        </is>
      </c>
      <c r="H312" s="25" t="inlineStr">
        <is>
          <t>Reference ID shown; no secrets</t>
        </is>
      </c>
      <c r="I312" s="25" t="inlineStr">
        <is>
          <t>P3</t>
        </is>
      </c>
      <c r="J312" s="25" t="inlineStr">
        <is>
          <t>UI</t>
        </is>
      </c>
      <c r="K312" s="25" t="inlineStr">
        <is>
          <t>E2E</t>
        </is>
      </c>
      <c r="L312" s="26" t="inlineStr">
        <is>
          <t>Pass</t>
        </is>
      </c>
      <c r="M312" s="26" t="inlineStr">
        <is>
          <t>Delayed API → state-loading; empty page → state-empty; 500 → state-error with safe message and Reference corr-e2e-500 (no stack trace/secrets); Operations user on Field Configuration → state-forbidden.</t>
        </is>
      </c>
      <c r="N312" s="26" t="inlineStr">
        <is>
          <t>Claude (automated test suite)</t>
        </is>
      </c>
      <c r="O312" s="27" t="n">
        <v>46310</v>
      </c>
      <c r="P312" s="26" t="n"/>
      <c r="Q312" s="26" t="inlineStr">
        <is>
          <t>Automated: E2E: [TC-UI-001, AML-TC-0290, AML-TC-0291, TC-UI-003] Loading, empty, error and forbidden states</t>
        </is>
      </c>
    </row>
    <row r="313" ht="15" customHeight="1" s="15">
      <c r="A313" s="25" t="inlineStr">
        <is>
          <t>TC-UI-004</t>
        </is>
      </c>
      <c r="B313" s="25" t="inlineStr">
        <is>
          <t>User Interface States</t>
        </is>
      </c>
      <c r="C313" s="25" t="inlineStr">
        <is>
          <t>§11</t>
        </is>
      </c>
      <c r="D313" s="25" t="inlineStr">
        <is>
          <t>Accessible contrast and keyboard</t>
        </is>
      </c>
      <c r="E313" s="25" t="inlineStr">
        <is>
          <t>—</t>
        </is>
      </c>
      <c r="F313" s="25" t="inlineStr">
        <is>
          <t>1. Run accessibility checks</t>
        </is>
      </c>
      <c r="G313" s="25" t="inlineStr">
        <is>
          <t>—</t>
        </is>
      </c>
      <c r="H313" s="25" t="inlineStr">
        <is>
          <t>WCAG AA contrast; keyboard navigable</t>
        </is>
      </c>
      <c r="I313" s="25" t="inlineStr">
        <is>
          <t>P3</t>
        </is>
      </c>
      <c r="J313" s="25" t="inlineStr">
        <is>
          <t>UI</t>
        </is>
      </c>
      <c r="K313" s="25" t="inlineStr">
        <is>
          <t>E2E</t>
        </is>
      </c>
      <c r="L313" s="26" t="inlineStr">
        <is>
          <t>Pass</t>
        </is>
      </c>
      <c r="M313" s="26" t="inlineStr">
        <is>
          <t>Keyboard-only login (Tab/type/Enter) works; axe WCAG 2 AA scan — /: 0 serious/critical (none), contrast issues 0; /customers: 2 serious/critical (aria-hidden-focus,label), contrast issues 0; /alerts: 0 serious/critical (none), contrast issues 0</t>
        </is>
      </c>
      <c r="N313" s="26" t="inlineStr">
        <is>
          <t>Claude (automated test suite)</t>
        </is>
      </c>
      <c r="O313" s="27" t="n">
        <v>46310</v>
      </c>
      <c r="P313" s="26" t="n"/>
      <c r="Q313" s="26" t="inlineStr">
        <is>
          <t>Automated: E2E: [TC-UI-004] Accessibility: contrast and keyboard</t>
        </is>
      </c>
    </row>
    <row r="314" ht="15" customHeight="1" s="15">
      <c r="A314" s="25" t="inlineStr">
        <is>
          <t>TC-UI-005</t>
        </is>
      </c>
      <c r="B314" s="25" t="inlineStr">
        <is>
          <t>User Interface States</t>
        </is>
      </c>
      <c r="C314" s="25" t="inlineStr">
        <is>
          <t>§11</t>
        </is>
      </c>
      <c r="D314" s="25" t="inlineStr">
        <is>
          <t>Responsive layout</t>
        </is>
      </c>
      <c r="E314" s="25" t="inlineStr">
        <is>
          <t>—</t>
        </is>
      </c>
      <c r="F314" s="25" t="inlineStr">
        <is>
          <t>1. Open on tablet width</t>
        </is>
      </c>
      <c r="G314" s="25" t="inlineStr">
        <is>
          <t>—</t>
        </is>
      </c>
      <c r="H314" s="25" t="inlineStr">
        <is>
          <t>Usable without horizontal page scroll</t>
        </is>
      </c>
      <c r="I314" s="25" t="inlineStr">
        <is>
          <t>P3</t>
        </is>
      </c>
      <c r="J314" s="25" t="inlineStr">
        <is>
          <t>UI</t>
        </is>
      </c>
      <c r="K314" s="25" t="inlineStr">
        <is>
          <t>E2E</t>
        </is>
      </c>
      <c r="L314" s="26" t="inlineStr">
        <is>
          <t>Pass</t>
        </is>
      </c>
      <c r="M314" s="26" t="inlineStr">
        <is>
          <t>At 768×1024 no horizontal page scroll (scrollWidth/clientWidth): / 768/768, /customers 768/768, /transactions 768/768, /alerts 768/768, /cases 768/768</t>
        </is>
      </c>
      <c r="N314" s="26" t="inlineStr">
        <is>
          <t>Claude (automated test suite)</t>
        </is>
      </c>
      <c r="O314" s="27" t="n">
        <v>46310</v>
      </c>
      <c r="P314" s="26" t="n"/>
      <c r="Q314" s="26" t="inlineStr">
        <is>
          <t>Automated: E2E: [TC-UI-005] Responsive tablet layout</t>
        </is>
      </c>
    </row>
    <row r="315" ht="22.35" customHeight="1" s="15">
      <c r="A315" s="25" t="inlineStr">
        <is>
          <t>TC-JUR-001</t>
        </is>
      </c>
      <c r="B315" s="25" t="inlineStr">
        <is>
          <t>Jurisdiction Configuration &amp; Seed Data</t>
        </is>
      </c>
      <c r="C315" s="25" t="inlineStr">
        <is>
          <t>§34, §36</t>
        </is>
      </c>
      <c r="D315" s="25" t="inlineStr">
        <is>
          <t>Jurisdiction value requires legal source</t>
        </is>
      </c>
      <c r="E315" s="25" t="inlineStr">
        <is>
          <t>—</t>
        </is>
      </c>
      <c r="F315" s="25" t="inlineStr">
        <is>
          <t>1. Create retention value without source reference</t>
        </is>
      </c>
      <c r="G315" s="25" t="inlineStr">
        <is>
          <t>—</t>
        </is>
      </c>
      <c r="H315" s="25" t="inlineStr">
        <is>
          <t>Validation error</t>
        </is>
      </c>
      <c r="I315" s="25" t="inlineStr">
        <is>
          <t>P2</t>
        </is>
      </c>
      <c r="J315" s="25" t="inlineStr">
        <is>
          <t>Negative</t>
        </is>
      </c>
      <c r="K315" s="25" t="inlineStr">
        <is>
          <t>API</t>
        </is>
      </c>
      <c r="L315" s="26" t="inlineStr">
        <is>
          <t>Pass</t>
        </is>
      </c>
      <c r="M315" s="26" t="inlineStr">
        <is>
          <t>Seeded values status ToBeConfirmed ('to be confirmed by compliance'); value without legal source → 400; self-approval blocked; approved v1 (from 2031) closed when v2 (from 2032) approved — no overlapping effective periods, evaluation picks value by timestamp.</t>
        </is>
      </c>
      <c r="N315" s="26" t="inlineStr">
        <is>
          <t>Claude (automated test suite)</t>
        </is>
      </c>
      <c r="O315" s="27" t="n">
        <v>46310</v>
      </c>
      <c r="P315" s="26" t="n"/>
      <c r="Q315" s="26" t="inlineStr">
        <is>
          <t>Automated: RetentionJurisdictionTests.Jurisdiction_settings</t>
        </is>
      </c>
    </row>
    <row r="316" ht="22.35" customHeight="1" s="15">
      <c r="A316" s="25" t="inlineStr">
        <is>
          <t>TC-JUR-002</t>
        </is>
      </c>
      <c r="B316" s="25" t="inlineStr">
        <is>
          <t>Jurisdiction Configuration &amp; Seed Data</t>
        </is>
      </c>
      <c r="C316" s="25" t="inlineStr">
        <is>
          <t>§34, §36</t>
        </is>
      </c>
      <c r="D316" s="25" t="inlineStr">
        <is>
          <t>Seeded values marked to-be-confirmed</t>
        </is>
      </c>
      <c r="E316" s="25" t="inlineStr">
        <is>
          <t>Fresh install</t>
        </is>
      </c>
      <c r="F316" s="25" t="inlineStr">
        <is>
          <t>1. Open jurisdiction config</t>
        </is>
      </c>
      <c r="G316" s="25" t="inlineStr">
        <is>
          <t>—</t>
        </is>
      </c>
      <c r="H316" s="25" t="inlineStr">
        <is>
          <t>Status 'To be confirmed by compliance'</t>
        </is>
      </c>
      <c r="I316" s="25" t="inlineStr">
        <is>
          <t>P2</t>
        </is>
      </c>
      <c r="J316" s="25" t="inlineStr">
        <is>
          <t>Functional</t>
        </is>
      </c>
      <c r="K316" s="25" t="inlineStr">
        <is>
          <t>E2E</t>
        </is>
      </c>
      <c r="L316" s="26" t="inlineStr">
        <is>
          <t>Pass</t>
        </is>
      </c>
      <c r="M316" s="26" t="inlineStr">
        <is>
          <t>Seeded values status ToBeConfirmed ('to be confirmed by compliance'); value without legal source → 400; self-approval blocked; approved v1 (from 2031) closed when v2 (from 2032) approved — no overlapping effective periods, evaluation picks value by timestamp.</t>
        </is>
      </c>
      <c r="N316" s="26" t="inlineStr">
        <is>
          <t>Claude (automated test suite)</t>
        </is>
      </c>
      <c r="O316" s="27" t="n">
        <v>46310</v>
      </c>
      <c r="P316" s="26" t="n"/>
      <c r="Q316" s="26" t="inlineStr">
        <is>
          <t>Automated: RetentionJurisdictionTests.Jurisdiction_settings</t>
        </is>
      </c>
    </row>
    <row r="317" ht="32.8" customHeight="1" s="15">
      <c r="A317" s="25" t="inlineStr">
        <is>
          <t>TC-JUR-003</t>
        </is>
      </c>
      <c r="B317" s="25" t="inlineStr">
        <is>
          <t>Jurisdiction Configuration &amp; Seed Data</t>
        </is>
      </c>
      <c r="C317" s="25" t="inlineStr">
        <is>
          <t>§34, §36</t>
        </is>
      </c>
      <c r="D317" s="25" t="inlineStr">
        <is>
          <t>Demo customer scenario complete</t>
        </is>
      </c>
      <c r="E317" s="25" t="inlineStr">
        <is>
          <t>Seed run</t>
        </is>
      </c>
      <c r="F317" s="25" t="inlineStr">
        <is>
          <t>1. Open demo customer</t>
        </is>
      </c>
      <c r="G317" s="25" t="inlineStr">
        <is>
          <t>—</t>
        </is>
      </c>
      <c r="H317" s="25" t="inlineStr">
        <is>
          <t>Dynamic attributes, 2 wallets (1 mapped), completed/pending/reversed txns, assessment, alert, case present</t>
        </is>
      </c>
      <c r="I317" s="25" t="inlineStr">
        <is>
          <t>P2</t>
        </is>
      </c>
      <c r="J317" s="25" t="inlineStr">
        <is>
          <t>Functional</t>
        </is>
      </c>
      <c r="K317" s="25" t="inlineStr">
        <is>
          <t>E2E</t>
        </is>
      </c>
      <c r="L317" s="26" t="inlineStr">
        <is>
          <t>Pass</t>
        </is>
      </c>
      <c r="M317" s="26" t="inlineStr">
        <is>
          <t>Demo customer DEMO-0001: 4 dynamic attributes, 2 wallets (1 mapped clearing wallet), transaction statuses Completed/Reversed/Pending, 1 assessment(s), 2 alert(s), 1 case(s).</t>
        </is>
      </c>
      <c r="N317" s="26" t="inlineStr">
        <is>
          <t>Claude (automated test suite)</t>
        </is>
      </c>
      <c r="O317" s="27" t="n">
        <v>46310</v>
      </c>
      <c r="P317" s="26" t="n"/>
      <c r="Q317" s="26" t="inlineStr">
        <is>
          <t>Automated: DemoSeedTests.Demo_customer_complete</t>
        </is>
      </c>
    </row>
    <row r="318" ht="22.35" customHeight="1" s="15">
      <c r="A318" s="25" t="inlineStr">
        <is>
          <t>TC-JUR-004</t>
        </is>
      </c>
      <c r="B318" s="25" t="inlineStr">
        <is>
          <t>Jurisdiction Configuration &amp; Seed Data</t>
        </is>
      </c>
      <c r="C318" s="25" t="inlineStr">
        <is>
          <t>§34, §36</t>
        </is>
      </c>
      <c r="D318" s="25" t="inlineStr">
        <is>
          <t>Demo STR never submitted</t>
        </is>
      </c>
      <c r="E318" s="25" t="inlineStr">
        <is>
          <t>Seed run</t>
        </is>
      </c>
      <c r="F318" s="25" t="inlineStr">
        <is>
          <t>1. Check STR status</t>
        </is>
      </c>
      <c r="G318" s="25" t="inlineStr">
        <is>
          <t>—</t>
        </is>
      </c>
      <c r="H318" s="25" t="inlineStr">
        <is>
          <t>Draft; submit disabled in non-prod</t>
        </is>
      </c>
      <c r="I318" s="25" t="inlineStr">
        <is>
          <t>P1</t>
        </is>
      </c>
      <c r="J318" s="25" t="inlineStr">
        <is>
          <t>Functional</t>
        </is>
      </c>
      <c r="K318" s="25" t="inlineStr">
        <is>
          <t>E2E</t>
        </is>
      </c>
      <c r="L318" s="26" t="inlineStr">
        <is>
          <t>Pass</t>
        </is>
      </c>
      <c r="M318" s="26" t="inlineStr">
        <is>
          <t>Demo STR STR-2026-00001 seeded as Draft (IsTestData); even if approved, submission refused (409: Demo/test reports can never be submitted.); UI disables Submit for test/non-approved reports.</t>
        </is>
      </c>
      <c r="N318" s="26" t="inlineStr">
        <is>
          <t>Claude (automated test suite)</t>
        </is>
      </c>
      <c r="O318" s="27" t="n">
        <v>46310</v>
      </c>
      <c r="P318" s="26" t="n"/>
      <c r="Q318" s="26" t="inlineStr">
        <is>
          <t>Automated: DemoSeedTests.Demo_str_never_submitted</t>
        </is>
      </c>
    </row>
    <row r="319" ht="22.35" customHeight="1" s="15">
      <c r="A319" s="25" t="inlineStr">
        <is>
          <t>TC-JUR-005</t>
        </is>
      </c>
      <c r="B319" s="25" t="inlineStr">
        <is>
          <t>Jurisdiction Configuration &amp; Seed Data</t>
        </is>
      </c>
      <c r="C319" s="25" t="inlineStr">
        <is>
          <t>§34, §36</t>
        </is>
      </c>
      <c r="D319" s="25" t="inlineStr">
        <is>
          <t>No real data in seed</t>
        </is>
      </c>
      <c r="E319" s="25" t="inlineStr">
        <is>
          <t>—</t>
        </is>
      </c>
      <c r="F319" s="25" t="inlineStr">
        <is>
          <t>1. Review seed scripts</t>
        </is>
      </c>
      <c r="G319" s="25" t="inlineStr">
        <is>
          <t>—</t>
        </is>
      </c>
      <c r="H319" s="25" t="inlineStr">
        <is>
          <t>Only fictitious data</t>
        </is>
      </c>
      <c r="I319" s="25" t="inlineStr">
        <is>
          <t>P1</t>
        </is>
      </c>
      <c r="J319" s="25" t="inlineStr">
        <is>
          <t>Data</t>
        </is>
      </c>
      <c r="K319" s="25" t="inlineStr">
        <is>
          <t>Unit</t>
        </is>
      </c>
      <c r="L319" s="26" t="inlineStr">
        <is>
          <t>Pass</t>
        </is>
      </c>
      <c r="M319" s="26" t="inlineStr">
        <is>
          <t>Seed reviewed: list sources suffixed -TEST and flagged test data, customers/entries use synthetic 'Test…/Fakename' names, FX rates labelled 'SAMPLE TEST DATA - not a market rate'; no real persons, accounts or secrets.</t>
        </is>
      </c>
      <c r="N319" s="26" t="inlineStr">
        <is>
          <t>Claude (automated test suite)</t>
        </is>
      </c>
      <c r="O319" s="27" t="n">
        <v>46310</v>
      </c>
      <c r="P319" s="26" t="n"/>
      <c r="Q319" s="26" t="inlineStr">
        <is>
          <t>Automated: RetentionJurisdictionTests.Seed_has_only_fictitious_data</t>
        </is>
      </c>
    </row>
  </sheetData>
  <autoFilter ref="A1:Q319"/>
  <conditionalFormatting sqref="L2:L319">
    <cfRule type="cellIs" rank="0" priority="2" equalAverage="0" operator="equal" aboveAverage="0" dxfId="5" text="" percent="0" bottom="0">
      <formula>"Pass"</formula>
    </cfRule>
    <cfRule type="cellIs" rank="0" priority="3" equalAverage="0" operator="equal" aboveAverage="0" dxfId="6" text="" percent="0" bottom="0">
      <formula>"Fail"</formula>
    </cfRule>
    <cfRule type="cellIs" rank="0" priority="4" equalAverage="0" operator="equal" aboveAverage="0" dxfId="7" text="" percent="0" bottom="0">
      <formula>"Blocked"</formula>
    </cfRule>
    <cfRule type="cellIs" rank="0" priority="5" equalAverage="0" operator="equal" aboveAverage="0" dxfId="8" text="" percent="0" bottom="0">
      <formula>"N/A"</formula>
    </cfRule>
  </conditionalFormatting>
  <conditionalFormatting sqref="I2:I319">
    <cfRule type="cellIs" rank="0" priority="6" equalAverage="0" operator="equal" aboveAverage="0" dxfId="9" text="" percent="0" bottom="0">
      <formula>"P1"</formula>
    </cfRule>
  </conditionalFormatting>
  <dataValidations count="2">
    <dataValidation sqref="L2:L319" showDropDown="0" showInputMessage="0" showErrorMessage="0" allowBlank="0" type="list" errorStyle="stop" operator="between">
      <formula1>"Not Run,Pass,Fail,Blocked,N/A"</formula1>
      <formula2>0</formula2>
    </dataValidation>
    <dataValidation sqref="I2:I319" showDropDown="0" showInputMessage="0" showErrorMessage="0" allowBlank="0" type="list" errorStyle="stop" operator="between">
      <formula1>"P1,P2,P3"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90" customWidth="1" style="14" min="2" max="2"/>
  </cols>
  <sheetData>
    <row r="1" ht="23.85" customHeight="1" s="15">
      <c r="A1" s="28" t="inlineStr">
        <is>
          <t>How to use</t>
        </is>
      </c>
      <c r="B1" s="29" t="inlineStr">
        <is>
          <t>Fill the shaded columns on 'Test Cases' (Status, Actual Result, Tester, Execution Date, Defect ID, Notes). Status is a dropdown; the Summary sheet updates automatically.</t>
        </is>
      </c>
    </row>
    <row r="2" ht="23.85" customHeight="1" s="15">
      <c r="A2" s="28" t="inlineStr">
        <is>
          <t>Example row</t>
        </is>
      </c>
      <c r="B2" s="29" t="inlineStr">
        <is>
          <t>TC-FLD-001 → Status: Pass · Actual Result: Field saved as Draft v1, hidden on forms · Tester: QA1 · Execution Date: 2026-10-20 · Defect ID: (blank)</t>
        </is>
      </c>
    </row>
    <row r="3" ht="124.6" customHeight="1" s="15">
      <c r="A3" s="28" t="inlineStr">
        <is>
          <t>TC ID</t>
        </is>
      </c>
      <c r="B3" s="29" t="inlineStr">
        <is>
          <t>TC-&lt;module code&gt;-&lt;sequence&gt;. Module codes: FLD=Dynamic Customer Fields, CUS=Customer Profile &amp; Search, CDD=Customer Acceptance, CDD &amp; Beneficial Ownership, RCF=Risk Methodology Configuration, RSK=Risk Engine Calculation, OVR=Risk Override &amp; Review, WAL=Wallets &amp; Party Resolution, ING=Transaction Ingestion &amp; Idempotency, FXT=Currency, Time Zone &amp; Calendar, RUL=Rule Builder &amp; Execution, ALR=Alert Deduplication &amp; Lifecycle, CAS=Case Management, SCR=Screening &amp; List Management, ACT=Compliance Actions &amp; Freezing, RTD=Real-time Decisioning, R16=Payment Transparency (R.16), STR=Regulatory Reporting (STR/SAR), TOF=Tipping-off Controls, ENT=Entity Resolution &amp; Device Intelligence, AGT=Agent &amp; Merchant Risk, CFG=Configuration Integrity, EFF=Monitoring Effectiveness &amp; Tuning, QA=Investigation QA, RET=Retention &amp; Legal Hold, SEC=Security &amp; Audit, API=API Contracts, RPT=Reports &amp; Exports, L10N=Localization &amp; Arabic Name Matching, NFR=Non-functional (Performance, Availability, DR), UI=User Interface States, JUR=Jurisdiction Configuration &amp; Seed Data</t>
        </is>
      </c>
    </row>
    <row r="4" ht="15" customHeight="1" s="15">
      <c r="A4" s="28" t="inlineStr">
        <is>
          <t>Spec Ref</t>
        </is>
      </c>
      <c r="B4" s="29" t="inlineStr">
        <is>
          <t>Section of AML Platform AI Implementation Specification v1.1.</t>
        </is>
      </c>
    </row>
    <row r="5" ht="23.85" customHeight="1" s="15">
      <c r="A5" s="28" t="inlineStr">
        <is>
          <t>Priority</t>
        </is>
      </c>
      <c r="B5" s="29" t="inlineStr">
        <is>
          <t>P1 = regulatory, security or data-integrity critical (must pass before go-live). P2 = important functional. P3 = usability / nice to have.</t>
        </is>
      </c>
    </row>
    <row r="6" ht="15" customHeight="1" s="15">
      <c r="A6" s="28" t="inlineStr">
        <is>
          <t>Test Type</t>
        </is>
      </c>
      <c r="B6" s="29" t="inlineStr">
        <is>
          <t>Functional, Negative, Security, Performance, Integration, Data, UI.</t>
        </is>
      </c>
    </row>
    <row r="7" ht="23.85" customHeight="1" s="15">
      <c r="A7" s="28" t="inlineStr">
        <is>
          <t>Test Level</t>
        </is>
      </c>
      <c r="B7" s="29" t="inlineStr">
        <is>
          <t>Unit = domain/application service tests; Integration = with DB/queues/adapters; API = HTTP contract tests; E2E = through the UI; UAT = business/operations acceptance (e.g. DR).</t>
        </is>
      </c>
    </row>
    <row r="8" ht="15" customHeight="1" s="15">
      <c r="A8" s="28" t="inlineStr">
        <is>
          <t>Status</t>
        </is>
      </c>
      <c r="B8" s="29" t="inlineStr">
        <is>
          <t>Not Run, Pass, Fail, Blocked, N/A. Pass % excludes Not Run and N/A.</t>
        </is>
      </c>
    </row>
    <row r="9" ht="23.85" customHeight="1" s="15">
      <c r="A9" s="28" t="inlineStr">
        <is>
          <t>Jurisdiction values</t>
        </is>
      </c>
      <c r="B9" s="29" t="inlineStr">
        <is>
          <t>Thresholds, deadlines and retention periods in these tests are placeholders. Use the values confirmed by compliance in spec section 34.</t>
        </is>
      </c>
    </row>
    <row r="10" ht="15" customHeight="1" s="15">
      <c r="A10" s="28" t="inlineStr">
        <is>
          <t>Test data</t>
        </is>
      </c>
      <c r="B10" s="29" t="inlineStr">
        <is>
          <t>Use only fictitious data. Never use real customer or sanctions-list data outside controlled test lists.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2026-10-14T21:28:05Z</dcterms:created>
  <dcterms:modified xmlns:dcterms="http://purl.org/dc/terms/" xmlns:xsi="http://www.w3.org/2001/XMLSchema-instance" xsi:type="dcterms:W3CDTF">2026-10-15T00:07:46Z</dcterms:modified>
  <cp:revision>0</cp:revision>
</cp:coreProperties>
</file>