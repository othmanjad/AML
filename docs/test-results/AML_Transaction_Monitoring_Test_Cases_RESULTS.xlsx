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Scenario Catalogue" sheetId="2" state="visible" r:id="rId2"/>
    <sheet xmlns:r="http://schemas.openxmlformats.org/officeDocument/2006/relationships" name="Test Cases" sheetId="3" state="visible" r:id="rId3"/>
    <sheet xmlns:r="http://schemas.openxmlformats.org/officeDocument/2006/relationships" name="Legend" sheetId="4" state="visible" r:id="rId4"/>
    <sheet xmlns:r="http://schemas.openxmlformats.org/officeDocument/2006/relationships" name="Defects &amp; Gaps" sheetId="5" state="visible" r:id="rId5"/>
  </sheets>
  <definedNames>
    <definedName name="_xlnm._FilterDatabase" localSheetId="1" hidden="1">'Scenario Catalogue'!$A$1:$H$121</definedName>
    <definedName name="_xlnm._FilterDatabase" localSheetId="2" hidden="1">'Test Cases'!$A$1:$O$315</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4"/>
    </font>
    <font>
      <name val="Arial"/>
      <charset val="1"/>
      <family val="0"/>
      <i val="1"/>
      <color rgb="FF595959"/>
      <sz val="9"/>
    </font>
    <font>
      <name val="Arial"/>
      <charset val="1"/>
      <family val="0"/>
      <b val="1"/>
      <color rgb="FFFFFFFF"/>
      <sz val="10"/>
    </font>
    <font>
      <name val="Arial"/>
      <charset val="1"/>
      <family val="0"/>
      <sz val="10"/>
    </font>
    <font>
      <name val="Arial"/>
      <charset val="1"/>
      <family val="0"/>
      <b val="1"/>
      <sz val="10"/>
    </font>
    <font>
      <name val="Arial"/>
      <charset val="1"/>
      <family val="0"/>
      <sz val="9"/>
    </font>
  </fonts>
  <fills count="7">
    <fill>
      <patternFill/>
    </fill>
    <fill>
      <patternFill patternType="gray125"/>
    </fill>
    <fill>
      <patternFill patternType="solid">
        <fgColor rgb="FF1F4E79"/>
        <bgColor rgb="FF003366"/>
      </patternFill>
    </fill>
    <fill>
      <patternFill patternType="solid">
        <fgColor rgb="FFDDEBF7"/>
        <bgColor rgb="FFE7E6E6"/>
      </patternFill>
    </fill>
    <fill>
      <patternFill patternType="solid">
        <fgColor rgb="FFFFF8DC"/>
        <bgColor rgb="FFFFFFFF"/>
      </patternFill>
    </fill>
    <fill>
      <patternFill patternType="solid">
        <fgColor rgb="00C6EFCE"/>
      </patternFill>
    </fill>
    <fill>
      <patternFill patternType="solid">
        <fgColor rgb="00FFEB9C"/>
      </patternFill>
    </fill>
  </fills>
  <borders count="2">
    <border>
      <left/>
      <right/>
      <top/>
      <bottom/>
      <diagonal/>
    </border>
    <border>
      <left style="thin">
        <color rgb="FFBFC8D6"/>
      </left>
      <right style="thin">
        <color rgb="FFBFC8D6"/>
      </right>
      <top style="thin">
        <color rgb="FFBFC8D6"/>
      </top>
      <bottom style="thin">
        <color rgb="FFBFC8D6"/>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bottom"/>
    </xf>
    <xf numFmtId="0" fontId="7" fillId="0" borderId="1" applyAlignment="1" pivotButton="0" quotePrefix="0" xfId="0">
      <alignment horizontal="center" vertical="bottom"/>
    </xf>
    <xf numFmtId="9" fontId="7" fillId="0" borderId="1" applyAlignment="1" pivotButton="0" quotePrefix="0" xfId="0">
      <alignment horizontal="center" vertical="bottom"/>
    </xf>
    <xf numFmtId="0" fontId="8" fillId="3" borderId="1" applyAlignment="1" pivotButton="0" quotePrefix="0" xfId="0">
      <alignment horizontal="general" vertical="bottom"/>
    </xf>
    <xf numFmtId="0" fontId="8" fillId="3" borderId="1" applyAlignment="1" pivotButton="0" quotePrefix="0" xfId="0">
      <alignment horizontal="center" vertical="bottom"/>
    </xf>
    <xf numFmtId="9" fontId="8" fillId="3" borderId="1" applyAlignment="1" pivotButton="0" quotePrefix="0" xfId="0">
      <alignment horizontal="center" vertical="bottom"/>
    </xf>
    <xf numFmtId="0" fontId="9" fillId="0" borderId="1" applyAlignment="1" pivotButton="0" quotePrefix="0" xfId="0">
      <alignment horizontal="general" vertical="top" wrapText="1"/>
    </xf>
    <xf numFmtId="0" fontId="9" fillId="0" borderId="1" applyAlignment="1" pivotButton="0" quotePrefix="0" xfId="0">
      <alignment horizontal="center" vertical="top"/>
    </xf>
    <xf numFmtId="0" fontId="9" fillId="4" borderId="1"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center" vertical="center" wrapText="1"/>
    </xf>
    <xf numFmtId="0" fontId="7" fillId="0" borderId="1" applyAlignment="1" pivotButton="0" quotePrefix="0" xfId="0">
      <alignment horizontal="general" vertical="bottom"/>
    </xf>
    <xf numFmtId="0" fontId="7" fillId="0" borderId="1" applyAlignment="1" pivotButton="0" quotePrefix="0" xfId="0">
      <alignment horizontal="center" vertical="bottom"/>
    </xf>
    <xf numFmtId="9" fontId="7" fillId="0" borderId="1" applyAlignment="1" pivotButton="0" quotePrefix="0" xfId="0">
      <alignment horizontal="center" vertical="bottom"/>
    </xf>
    <xf numFmtId="0" fontId="8" fillId="3" borderId="1" applyAlignment="1" pivotButton="0" quotePrefix="0" xfId="0">
      <alignment horizontal="general" vertical="bottom"/>
    </xf>
    <xf numFmtId="0" fontId="8" fillId="3" borderId="1" applyAlignment="1" pivotButton="0" quotePrefix="0" xfId="0">
      <alignment horizontal="center" vertical="bottom"/>
    </xf>
    <xf numFmtId="9" fontId="8" fillId="3" borderId="1" applyAlignment="1" pivotButton="0" quotePrefix="0" xfId="0">
      <alignment horizontal="center" vertical="bottom"/>
    </xf>
    <xf numFmtId="0" fontId="9" fillId="0" borderId="1" applyAlignment="1" pivotButton="0" quotePrefix="0" xfId="0">
      <alignment horizontal="general" vertical="top" wrapText="1"/>
    </xf>
    <xf numFmtId="0" fontId="9" fillId="0" borderId="1" applyAlignment="1" pivotButton="0" quotePrefix="0" xfId="0">
      <alignment horizontal="center" vertical="top"/>
    </xf>
    <xf numFmtId="0" fontId="9" fillId="5" borderId="1" applyAlignment="1" pivotButton="0" quotePrefix="0" xfId="0">
      <alignment horizontal="general" vertical="top" wrapText="1"/>
    </xf>
    <xf numFmtId="0" fontId="9" fillId="4" borderId="1" applyAlignment="1" pivotButton="0" quotePrefix="0" xfId="0">
      <alignment horizontal="general" vertical="top" wrapText="1"/>
    </xf>
    <xf numFmtId="0" fontId="9" fillId="6" borderId="1"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6">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CE4D6"/>
          <bgColor rgb="FF000000"/>
        </patternFill>
      </fill>
    </dxf>
    <dxf>
      <fill>
        <patternFill patternType="solid">
          <fgColor rgb="FFFFF8DC"/>
          <bgColor rgb="FF000000"/>
        </patternFill>
      </fill>
    </dxf>
    <dxf>
      <fill>
        <patternFill>
          <bgColor rgb="FFC6EFCE"/>
        </patternFill>
      </fill>
    </dxf>
    <dxf>
      <fill>
        <patternFill>
          <bgColor rgb="FFFFC7CE"/>
        </patternFill>
      </fill>
    </dxf>
    <dxf>
      <fill>
        <patternFill>
          <bgColor rgb="FFFFEB9C"/>
        </patternFill>
      </fill>
    </dxf>
    <dxf>
      <fill>
        <patternFill>
          <bgColor rgb="FFE7E6E6"/>
        </patternFill>
      </fill>
    </dxf>
    <dxf>
      <fill>
        <patternFill>
          <bgColor rgb="FFE2EFDA"/>
        </patternFill>
      </fill>
    </dxf>
    <dxf>
      <fill>
        <patternFill>
          <bgColor rgb="FFFCE4D6"/>
        </patternFill>
      </fill>
    </dxf>
    <dxf>
      <fill>
        <patternFill>
          <bgColor rgb="FFDDEBF7"/>
        </patternFill>
      </fill>
    </dxf>
    <dxf>
      <fill>
        <patternFill>
          <bgColor rgb="FFEDE7F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8D6"/>
      <rgbColor rgb="FF808080"/>
      <rgbColor rgb="FF9999FF"/>
      <rgbColor rgb="FF993366"/>
      <rgbColor rgb="FFFFF8DC"/>
      <rgbColor rgb="FFDDEBF7"/>
      <rgbColor rgb="FF660066"/>
      <rgbColor rgb="FFFF8080"/>
      <rgbColor rgb="FF0066CC"/>
      <rgbColor rgb="FFE7E6E6"/>
      <rgbColor rgb="FF000080"/>
      <rgbColor rgb="FFFF00FF"/>
      <rgbColor rgb="FFFFFF00"/>
      <rgbColor rgb="FF00FFFF"/>
      <rgbColor rgb="FF800080"/>
      <rgbColor rgb="FF800000"/>
      <rgbColor rgb="FF008080"/>
      <rgbColor rgb="FF0000FF"/>
      <rgbColor rgb="FF00CCFF"/>
      <rgbColor rgb="FFE2EFDA"/>
      <rgbColor rgb="FFC6EFCE"/>
      <rgbColor rgb="FFFFEB9C"/>
      <rgbColor rgb="FFEDE7F6"/>
      <rgbColor rgb="FFFCE4D6"/>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M26"/>
  <sheetViews>
    <sheetView showFormulas="0" showGridLines="1"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5" min="1" max="1"/>
    <col width="10" customWidth="1" style="15" min="2" max="3"/>
    <col width="9" customWidth="1" style="15" min="4" max="6"/>
    <col width="8" customWidth="1" style="15" min="7" max="7"/>
    <col width="7" customWidth="1" style="15" min="8" max="9"/>
    <col width="9" customWidth="1" style="15" min="10" max="11"/>
    <col width="11" customWidth="1" style="15" min="12" max="12"/>
    <col width="9" customWidth="1" style="15" min="13" max="13"/>
  </cols>
  <sheetData>
    <row r="1" ht="17.35" customHeight="1" s="16">
      <c r="A1" s="17" t="inlineStr">
        <is>
          <t>Transaction Monitoring Scenarios — Test Summary</t>
        </is>
      </c>
    </row>
    <row r="2" ht="15" customHeight="1" s="16">
      <c r="A2" s="18" t="inlineStr">
        <is>
          <t>Figures are formulas over 'Test Cases' and update as Status is filled in. Thresholds are configurable defaults, not regulatory values.</t>
        </is>
      </c>
    </row>
    <row r="4" ht="30" customHeight="1" s="16">
      <c r="A4" s="19" t="inlineStr">
        <is>
          <t>Category</t>
        </is>
      </c>
      <c r="B4" s="19" t="inlineStr">
        <is>
          <t>Scenarios</t>
        </is>
      </c>
      <c r="C4" s="19" t="inlineStr">
        <is>
          <t>Test Cases</t>
        </is>
      </c>
      <c r="D4" s="19" t="inlineStr">
        <is>
          <t>Positive</t>
        </is>
      </c>
      <c r="E4" s="19" t="inlineStr">
        <is>
          <t>Negative</t>
        </is>
      </c>
      <c r="F4" s="19" t="inlineStr">
        <is>
          <t>Boundary</t>
        </is>
      </c>
      <c r="G4" s="19" t="inlineStr">
        <is>
          <t>Edge</t>
        </is>
      </c>
      <c r="H4" s="19" t="inlineStr">
        <is>
          <t>Pass</t>
        </is>
      </c>
      <c r="I4" s="19" t="inlineStr">
        <is>
          <t>Fail</t>
        </is>
      </c>
      <c r="J4" s="19" t="inlineStr">
        <is>
          <t>Blocked</t>
        </is>
      </c>
      <c r="K4" s="19" t="inlineStr">
        <is>
          <t>Not Run</t>
        </is>
      </c>
      <c r="L4" s="19" t="inlineStr">
        <is>
          <t>Executed %</t>
        </is>
      </c>
      <c r="M4" s="19" t="inlineStr">
        <is>
          <t>Pass %</t>
        </is>
      </c>
    </row>
    <row r="5" ht="15" customHeight="1" s="16">
      <c r="A5" s="20" t="inlineStr">
        <is>
          <t>Velocity &amp; Frequency</t>
        </is>
      </c>
      <c r="B5" s="21">
        <f>COUNTIF('Scenario Catalogue'!$B$2:$B$121,A5)</f>
        <v/>
      </c>
      <c r="C5" s="21">
        <f>COUNTIF('Test Cases'!$B$2:$B$315,A5)</f>
        <v/>
      </c>
      <c r="D5" s="21">
        <f>COUNTIFS('Test Cases'!$B$2:$B$315,$A5,'Test Cases'!$E$2:$E$315,"Positive")</f>
        <v/>
      </c>
      <c r="E5" s="21">
        <f>COUNTIFS('Test Cases'!$B$2:$B$315,$A5,'Test Cases'!$E$2:$E$315,"Negative")</f>
        <v/>
      </c>
      <c r="F5" s="21">
        <f>COUNTIFS('Test Cases'!$B$2:$B$315,$A5,'Test Cases'!$E$2:$E$315,"Boundary")</f>
        <v/>
      </c>
      <c r="G5" s="21">
        <f>COUNTIFS('Test Cases'!$B$2:$B$315,$A5,'Test Cases'!$E$2:$E$315,"Edge")</f>
        <v/>
      </c>
      <c r="H5" s="21">
        <f>COUNTIFS('Test Cases'!$B$2:$B$315,$A5,'Test Cases'!$J$2:$J$315,"Pass")</f>
        <v/>
      </c>
      <c r="I5" s="21">
        <f>COUNTIFS('Test Cases'!$B$2:$B$315,$A5,'Test Cases'!$J$2:$J$315,"Fail")</f>
        <v/>
      </c>
      <c r="J5" s="21">
        <f>COUNTIFS('Test Cases'!$B$2:$B$315,$A5,'Test Cases'!$J$2:$J$315,"Blocked")</f>
        <v/>
      </c>
      <c r="K5" s="21">
        <f>COUNTIFS('Test Cases'!$B$2:$B$315,$A5,'Test Cases'!$J$2:$J$315,"Not Run")</f>
        <v/>
      </c>
      <c r="L5" s="22">
        <f>IF(C5=0,0,(C5-K5)/C5)</f>
        <v/>
      </c>
      <c r="M5" s="22">
        <f>IF((H5+I5+J5)=0,0,H5/(H5+I5+J5))</f>
        <v/>
      </c>
    </row>
    <row r="6" ht="15" customHeight="1" s="16">
      <c r="A6" s="20" t="inlineStr">
        <is>
          <t>Amount &amp; Thresholds</t>
        </is>
      </c>
      <c r="B6" s="21">
        <f>COUNTIF('Scenario Catalogue'!$B$2:$B$121,A6)</f>
        <v/>
      </c>
      <c r="C6" s="21">
        <f>COUNTIF('Test Cases'!$B$2:$B$315,A6)</f>
        <v/>
      </c>
      <c r="D6" s="21">
        <f>COUNTIFS('Test Cases'!$B$2:$B$315,$A6,'Test Cases'!$E$2:$E$315,"Positive")</f>
        <v/>
      </c>
      <c r="E6" s="21">
        <f>COUNTIFS('Test Cases'!$B$2:$B$315,$A6,'Test Cases'!$E$2:$E$315,"Negative")</f>
        <v/>
      </c>
      <c r="F6" s="21">
        <f>COUNTIFS('Test Cases'!$B$2:$B$315,$A6,'Test Cases'!$E$2:$E$315,"Boundary")</f>
        <v/>
      </c>
      <c r="G6" s="21">
        <f>COUNTIFS('Test Cases'!$B$2:$B$315,$A6,'Test Cases'!$E$2:$E$315,"Edge")</f>
        <v/>
      </c>
      <c r="H6" s="21">
        <f>COUNTIFS('Test Cases'!$B$2:$B$315,$A6,'Test Cases'!$J$2:$J$315,"Pass")</f>
        <v/>
      </c>
      <c r="I6" s="21">
        <f>COUNTIFS('Test Cases'!$B$2:$B$315,$A6,'Test Cases'!$J$2:$J$315,"Fail")</f>
        <v/>
      </c>
      <c r="J6" s="21">
        <f>COUNTIFS('Test Cases'!$B$2:$B$315,$A6,'Test Cases'!$J$2:$J$315,"Blocked")</f>
        <v/>
      </c>
      <c r="K6" s="21">
        <f>COUNTIFS('Test Cases'!$B$2:$B$315,$A6,'Test Cases'!$J$2:$J$315,"Not Run")</f>
        <v/>
      </c>
      <c r="L6" s="22">
        <f>IF(C6=0,0,(C6-K6)/C6)</f>
        <v/>
      </c>
      <c r="M6" s="22">
        <f>IF((H6+I6+J6)=0,0,H6/(H6+I6+J6))</f>
        <v/>
      </c>
    </row>
    <row r="7" ht="15" customHeight="1" s="16">
      <c r="A7" s="20" t="inlineStr">
        <is>
          <t>Structuring &amp; Smurfing</t>
        </is>
      </c>
      <c r="B7" s="21">
        <f>COUNTIF('Scenario Catalogue'!$B$2:$B$121,A7)</f>
        <v/>
      </c>
      <c r="C7" s="21">
        <f>COUNTIF('Test Cases'!$B$2:$B$315,A7)</f>
        <v/>
      </c>
      <c r="D7" s="21">
        <f>COUNTIFS('Test Cases'!$B$2:$B$315,$A7,'Test Cases'!$E$2:$E$315,"Positive")</f>
        <v/>
      </c>
      <c r="E7" s="21">
        <f>COUNTIFS('Test Cases'!$B$2:$B$315,$A7,'Test Cases'!$E$2:$E$315,"Negative")</f>
        <v/>
      </c>
      <c r="F7" s="21">
        <f>COUNTIFS('Test Cases'!$B$2:$B$315,$A7,'Test Cases'!$E$2:$E$315,"Boundary")</f>
        <v/>
      </c>
      <c r="G7" s="21">
        <f>COUNTIFS('Test Cases'!$B$2:$B$315,$A7,'Test Cases'!$E$2:$E$315,"Edge")</f>
        <v/>
      </c>
      <c r="H7" s="21">
        <f>COUNTIFS('Test Cases'!$B$2:$B$315,$A7,'Test Cases'!$J$2:$J$315,"Pass")</f>
        <v/>
      </c>
      <c r="I7" s="21">
        <f>COUNTIFS('Test Cases'!$B$2:$B$315,$A7,'Test Cases'!$J$2:$J$315,"Fail")</f>
        <v/>
      </c>
      <c r="J7" s="21">
        <f>COUNTIFS('Test Cases'!$B$2:$B$315,$A7,'Test Cases'!$J$2:$J$315,"Blocked")</f>
        <v/>
      </c>
      <c r="K7" s="21">
        <f>COUNTIFS('Test Cases'!$B$2:$B$315,$A7,'Test Cases'!$J$2:$J$315,"Not Run")</f>
        <v/>
      </c>
      <c r="L7" s="22">
        <f>IF(C7=0,0,(C7-K7)/C7)</f>
        <v/>
      </c>
      <c r="M7" s="22">
        <f>IF((H7+I7+J7)=0,0,H7/(H7+I7+J7))</f>
        <v/>
      </c>
    </row>
    <row r="8" ht="15" customHeight="1" s="16">
      <c r="A8" s="20" t="inlineStr">
        <is>
          <t>Rapid Movement &amp; Pass-through</t>
        </is>
      </c>
      <c r="B8" s="21">
        <f>COUNTIF('Scenario Catalogue'!$B$2:$B$121,A8)</f>
        <v/>
      </c>
      <c r="C8" s="21">
        <f>COUNTIF('Test Cases'!$B$2:$B$315,A8)</f>
        <v/>
      </c>
      <c r="D8" s="21">
        <f>COUNTIFS('Test Cases'!$B$2:$B$315,$A8,'Test Cases'!$E$2:$E$315,"Positive")</f>
        <v/>
      </c>
      <c r="E8" s="21">
        <f>COUNTIFS('Test Cases'!$B$2:$B$315,$A8,'Test Cases'!$E$2:$E$315,"Negative")</f>
        <v/>
      </c>
      <c r="F8" s="21">
        <f>COUNTIFS('Test Cases'!$B$2:$B$315,$A8,'Test Cases'!$E$2:$E$315,"Boundary")</f>
        <v/>
      </c>
      <c r="G8" s="21">
        <f>COUNTIFS('Test Cases'!$B$2:$B$315,$A8,'Test Cases'!$E$2:$E$315,"Edge")</f>
        <v/>
      </c>
      <c r="H8" s="21">
        <f>COUNTIFS('Test Cases'!$B$2:$B$315,$A8,'Test Cases'!$J$2:$J$315,"Pass")</f>
        <v/>
      </c>
      <c r="I8" s="21">
        <f>COUNTIFS('Test Cases'!$B$2:$B$315,$A8,'Test Cases'!$J$2:$J$315,"Fail")</f>
        <v/>
      </c>
      <c r="J8" s="21">
        <f>COUNTIFS('Test Cases'!$B$2:$B$315,$A8,'Test Cases'!$J$2:$J$315,"Blocked")</f>
        <v/>
      </c>
      <c r="K8" s="21">
        <f>COUNTIFS('Test Cases'!$B$2:$B$315,$A8,'Test Cases'!$J$2:$J$315,"Not Run")</f>
        <v/>
      </c>
      <c r="L8" s="22">
        <f>IF(C8=0,0,(C8-K8)/C8)</f>
        <v/>
      </c>
      <c r="M8" s="22">
        <f>IF((H8+I8+J8)=0,0,H8/(H8+I8+J8))</f>
        <v/>
      </c>
    </row>
    <row r="9" ht="15" customHeight="1" s="16">
      <c r="A9" s="20" t="inlineStr">
        <is>
          <t>Fan-in / Fan-out</t>
        </is>
      </c>
      <c r="B9" s="21">
        <f>COUNTIF('Scenario Catalogue'!$B$2:$B$121,A9)</f>
        <v/>
      </c>
      <c r="C9" s="21">
        <f>COUNTIF('Test Cases'!$B$2:$B$315,A9)</f>
        <v/>
      </c>
      <c r="D9" s="21">
        <f>COUNTIFS('Test Cases'!$B$2:$B$315,$A9,'Test Cases'!$E$2:$E$315,"Positive")</f>
        <v/>
      </c>
      <c r="E9" s="21">
        <f>COUNTIFS('Test Cases'!$B$2:$B$315,$A9,'Test Cases'!$E$2:$E$315,"Negative")</f>
        <v/>
      </c>
      <c r="F9" s="21">
        <f>COUNTIFS('Test Cases'!$B$2:$B$315,$A9,'Test Cases'!$E$2:$E$315,"Boundary")</f>
        <v/>
      </c>
      <c r="G9" s="21">
        <f>COUNTIFS('Test Cases'!$B$2:$B$315,$A9,'Test Cases'!$E$2:$E$315,"Edge")</f>
        <v/>
      </c>
      <c r="H9" s="21">
        <f>COUNTIFS('Test Cases'!$B$2:$B$315,$A9,'Test Cases'!$J$2:$J$315,"Pass")</f>
        <v/>
      </c>
      <c r="I9" s="21">
        <f>COUNTIFS('Test Cases'!$B$2:$B$315,$A9,'Test Cases'!$J$2:$J$315,"Fail")</f>
        <v/>
      </c>
      <c r="J9" s="21">
        <f>COUNTIFS('Test Cases'!$B$2:$B$315,$A9,'Test Cases'!$J$2:$J$315,"Blocked")</f>
        <v/>
      </c>
      <c r="K9" s="21">
        <f>COUNTIFS('Test Cases'!$B$2:$B$315,$A9,'Test Cases'!$J$2:$J$315,"Not Run")</f>
        <v/>
      </c>
      <c r="L9" s="22">
        <f>IF(C9=0,0,(C9-K9)/C9)</f>
        <v/>
      </c>
      <c r="M9" s="22">
        <f>IF((H9+I9+J9)=0,0,H9/(H9+I9+J9))</f>
        <v/>
      </c>
    </row>
    <row r="10" ht="15" customHeight="1" s="16">
      <c r="A10" s="20" t="inlineStr">
        <is>
          <t>Geographic &amp; Impossible Travel</t>
        </is>
      </c>
      <c r="B10" s="21">
        <f>COUNTIF('Scenario Catalogue'!$B$2:$B$121,A10)</f>
        <v/>
      </c>
      <c r="C10" s="21">
        <f>COUNTIF('Test Cases'!$B$2:$B$315,A10)</f>
        <v/>
      </c>
      <c r="D10" s="21">
        <f>COUNTIFS('Test Cases'!$B$2:$B$315,$A10,'Test Cases'!$E$2:$E$315,"Positive")</f>
        <v/>
      </c>
      <c r="E10" s="21">
        <f>COUNTIFS('Test Cases'!$B$2:$B$315,$A10,'Test Cases'!$E$2:$E$315,"Negative")</f>
        <v/>
      </c>
      <c r="F10" s="21">
        <f>COUNTIFS('Test Cases'!$B$2:$B$315,$A10,'Test Cases'!$E$2:$E$315,"Boundary")</f>
        <v/>
      </c>
      <c r="G10" s="21">
        <f>COUNTIFS('Test Cases'!$B$2:$B$315,$A10,'Test Cases'!$E$2:$E$315,"Edge")</f>
        <v/>
      </c>
      <c r="H10" s="21">
        <f>COUNTIFS('Test Cases'!$B$2:$B$315,$A10,'Test Cases'!$J$2:$J$315,"Pass")</f>
        <v/>
      </c>
      <c r="I10" s="21">
        <f>COUNTIFS('Test Cases'!$B$2:$B$315,$A10,'Test Cases'!$J$2:$J$315,"Fail")</f>
        <v/>
      </c>
      <c r="J10" s="21">
        <f>COUNTIFS('Test Cases'!$B$2:$B$315,$A10,'Test Cases'!$J$2:$J$315,"Blocked")</f>
        <v/>
      </c>
      <c r="K10" s="21">
        <f>COUNTIFS('Test Cases'!$B$2:$B$315,$A10,'Test Cases'!$J$2:$J$315,"Not Run")</f>
        <v/>
      </c>
      <c r="L10" s="22">
        <f>IF(C10=0,0,(C10-K10)/C10)</f>
        <v/>
      </c>
      <c r="M10" s="22">
        <f>IF((H10+I10+J10)=0,0,H10/(H10+I10+J10))</f>
        <v/>
      </c>
    </row>
    <row r="11" ht="15" customHeight="1" s="16">
      <c r="A11" s="20" t="inlineStr">
        <is>
          <t>Device, IP &amp; Channel</t>
        </is>
      </c>
      <c r="B11" s="21">
        <f>COUNTIF('Scenario Catalogue'!$B$2:$B$121,A11)</f>
        <v/>
      </c>
      <c r="C11" s="21">
        <f>COUNTIF('Test Cases'!$B$2:$B$315,A11)</f>
        <v/>
      </c>
      <c r="D11" s="21">
        <f>COUNTIFS('Test Cases'!$B$2:$B$315,$A11,'Test Cases'!$E$2:$E$315,"Positive")</f>
        <v/>
      </c>
      <c r="E11" s="21">
        <f>COUNTIFS('Test Cases'!$B$2:$B$315,$A11,'Test Cases'!$E$2:$E$315,"Negative")</f>
        <v/>
      </c>
      <c r="F11" s="21">
        <f>COUNTIFS('Test Cases'!$B$2:$B$315,$A11,'Test Cases'!$E$2:$E$315,"Boundary")</f>
        <v/>
      </c>
      <c r="G11" s="21">
        <f>COUNTIFS('Test Cases'!$B$2:$B$315,$A11,'Test Cases'!$E$2:$E$315,"Edge")</f>
        <v/>
      </c>
      <c r="H11" s="21">
        <f>COUNTIFS('Test Cases'!$B$2:$B$315,$A11,'Test Cases'!$J$2:$J$315,"Pass")</f>
        <v/>
      </c>
      <c r="I11" s="21">
        <f>COUNTIFS('Test Cases'!$B$2:$B$315,$A11,'Test Cases'!$J$2:$J$315,"Fail")</f>
        <v/>
      </c>
      <c r="J11" s="21">
        <f>COUNTIFS('Test Cases'!$B$2:$B$315,$A11,'Test Cases'!$J$2:$J$315,"Blocked")</f>
        <v/>
      </c>
      <c r="K11" s="21">
        <f>COUNTIFS('Test Cases'!$B$2:$B$315,$A11,'Test Cases'!$J$2:$J$315,"Not Run")</f>
        <v/>
      </c>
      <c r="L11" s="22">
        <f>IF(C11=0,0,(C11-K11)/C11)</f>
        <v/>
      </c>
      <c r="M11" s="22">
        <f>IF((H11+I11+J11)=0,0,H11/(H11+I11+J11))</f>
        <v/>
      </c>
    </row>
    <row r="12" ht="15" customHeight="1" s="16">
      <c r="A12" s="20" t="inlineStr">
        <is>
          <t>Behavioural Change &amp; Profile Mismatch</t>
        </is>
      </c>
      <c r="B12" s="21">
        <f>COUNTIF('Scenario Catalogue'!$B$2:$B$121,A12)</f>
        <v/>
      </c>
      <c r="C12" s="21">
        <f>COUNTIF('Test Cases'!$B$2:$B$315,A12)</f>
        <v/>
      </c>
      <c r="D12" s="21">
        <f>COUNTIFS('Test Cases'!$B$2:$B$315,$A12,'Test Cases'!$E$2:$E$315,"Positive")</f>
        <v/>
      </c>
      <c r="E12" s="21">
        <f>COUNTIFS('Test Cases'!$B$2:$B$315,$A12,'Test Cases'!$E$2:$E$315,"Negative")</f>
        <v/>
      </c>
      <c r="F12" s="21">
        <f>COUNTIFS('Test Cases'!$B$2:$B$315,$A12,'Test Cases'!$E$2:$E$315,"Boundary")</f>
        <v/>
      </c>
      <c r="G12" s="21">
        <f>COUNTIFS('Test Cases'!$B$2:$B$315,$A12,'Test Cases'!$E$2:$E$315,"Edge")</f>
        <v/>
      </c>
      <c r="H12" s="21">
        <f>COUNTIFS('Test Cases'!$B$2:$B$315,$A12,'Test Cases'!$J$2:$J$315,"Pass")</f>
        <v/>
      </c>
      <c r="I12" s="21">
        <f>COUNTIFS('Test Cases'!$B$2:$B$315,$A12,'Test Cases'!$J$2:$J$315,"Fail")</f>
        <v/>
      </c>
      <c r="J12" s="21">
        <f>COUNTIFS('Test Cases'!$B$2:$B$315,$A12,'Test Cases'!$J$2:$J$315,"Blocked")</f>
        <v/>
      </c>
      <c r="K12" s="21">
        <f>COUNTIFS('Test Cases'!$B$2:$B$315,$A12,'Test Cases'!$J$2:$J$315,"Not Run")</f>
        <v/>
      </c>
      <c r="L12" s="22">
        <f>IF(C12=0,0,(C12-K12)/C12)</f>
        <v/>
      </c>
      <c r="M12" s="22">
        <f>IF((H12+I12+J12)=0,0,H12/(H12+I12+J12))</f>
        <v/>
      </c>
    </row>
    <row r="13" ht="15" customHeight="1" s="16">
      <c r="A13" s="20" t="inlineStr">
        <is>
          <t>Cash-in / Cash-out</t>
        </is>
      </c>
      <c r="B13" s="21">
        <f>COUNTIF('Scenario Catalogue'!$B$2:$B$121,A13)</f>
        <v/>
      </c>
      <c r="C13" s="21">
        <f>COUNTIF('Test Cases'!$B$2:$B$315,A13)</f>
        <v/>
      </c>
      <c r="D13" s="21">
        <f>COUNTIFS('Test Cases'!$B$2:$B$315,$A13,'Test Cases'!$E$2:$E$315,"Positive")</f>
        <v/>
      </c>
      <c r="E13" s="21">
        <f>COUNTIFS('Test Cases'!$B$2:$B$315,$A13,'Test Cases'!$E$2:$E$315,"Negative")</f>
        <v/>
      </c>
      <c r="F13" s="21">
        <f>COUNTIFS('Test Cases'!$B$2:$B$315,$A13,'Test Cases'!$E$2:$E$315,"Boundary")</f>
        <v/>
      </c>
      <c r="G13" s="21">
        <f>COUNTIFS('Test Cases'!$B$2:$B$315,$A13,'Test Cases'!$E$2:$E$315,"Edge")</f>
        <v/>
      </c>
      <c r="H13" s="21">
        <f>COUNTIFS('Test Cases'!$B$2:$B$315,$A13,'Test Cases'!$J$2:$J$315,"Pass")</f>
        <v/>
      </c>
      <c r="I13" s="21">
        <f>COUNTIFS('Test Cases'!$B$2:$B$315,$A13,'Test Cases'!$J$2:$J$315,"Fail")</f>
        <v/>
      </c>
      <c r="J13" s="21">
        <f>COUNTIFS('Test Cases'!$B$2:$B$315,$A13,'Test Cases'!$J$2:$J$315,"Blocked")</f>
        <v/>
      </c>
      <c r="K13" s="21">
        <f>COUNTIFS('Test Cases'!$B$2:$B$315,$A13,'Test Cases'!$J$2:$J$315,"Not Run")</f>
        <v/>
      </c>
      <c r="L13" s="22">
        <f>IF(C13=0,0,(C13-K13)/C13)</f>
        <v/>
      </c>
      <c r="M13" s="22">
        <f>IF((H13+I13+J13)=0,0,H13/(H13+I13+J13))</f>
        <v/>
      </c>
    </row>
    <row r="14" ht="15" customHeight="1" s="16">
      <c r="A14" s="20" t="inlineStr">
        <is>
          <t>Agent Network</t>
        </is>
      </c>
      <c r="B14" s="21">
        <f>COUNTIF('Scenario Catalogue'!$B$2:$B$121,A14)</f>
        <v/>
      </c>
      <c r="C14" s="21">
        <f>COUNTIF('Test Cases'!$B$2:$B$315,A14)</f>
        <v/>
      </c>
      <c r="D14" s="21">
        <f>COUNTIFS('Test Cases'!$B$2:$B$315,$A14,'Test Cases'!$E$2:$E$315,"Positive")</f>
        <v/>
      </c>
      <c r="E14" s="21">
        <f>COUNTIFS('Test Cases'!$B$2:$B$315,$A14,'Test Cases'!$E$2:$E$315,"Negative")</f>
        <v/>
      </c>
      <c r="F14" s="21">
        <f>COUNTIFS('Test Cases'!$B$2:$B$315,$A14,'Test Cases'!$E$2:$E$315,"Boundary")</f>
        <v/>
      </c>
      <c r="G14" s="21">
        <f>COUNTIFS('Test Cases'!$B$2:$B$315,$A14,'Test Cases'!$E$2:$E$315,"Edge")</f>
        <v/>
      </c>
      <c r="H14" s="21">
        <f>COUNTIFS('Test Cases'!$B$2:$B$315,$A14,'Test Cases'!$J$2:$J$315,"Pass")</f>
        <v/>
      </c>
      <c r="I14" s="21">
        <f>COUNTIFS('Test Cases'!$B$2:$B$315,$A14,'Test Cases'!$J$2:$J$315,"Fail")</f>
        <v/>
      </c>
      <c r="J14" s="21">
        <f>COUNTIFS('Test Cases'!$B$2:$B$315,$A14,'Test Cases'!$J$2:$J$315,"Blocked")</f>
        <v/>
      </c>
      <c r="K14" s="21">
        <f>COUNTIFS('Test Cases'!$B$2:$B$315,$A14,'Test Cases'!$J$2:$J$315,"Not Run")</f>
        <v/>
      </c>
      <c r="L14" s="22">
        <f>IF(C14=0,0,(C14-K14)/C14)</f>
        <v/>
      </c>
      <c r="M14" s="22">
        <f>IF((H14+I14+J14)=0,0,H14/(H14+I14+J14))</f>
        <v/>
      </c>
    </row>
    <row r="15" ht="15" customHeight="1" s="16">
      <c r="A15" s="20" t="inlineStr">
        <is>
          <t>Merchant</t>
        </is>
      </c>
      <c r="B15" s="21">
        <f>COUNTIF('Scenario Catalogue'!$B$2:$B$121,A15)</f>
        <v/>
      </c>
      <c r="C15" s="21">
        <f>COUNTIF('Test Cases'!$B$2:$B$315,A15)</f>
        <v/>
      </c>
      <c r="D15" s="21">
        <f>COUNTIFS('Test Cases'!$B$2:$B$315,$A15,'Test Cases'!$E$2:$E$315,"Positive")</f>
        <v/>
      </c>
      <c r="E15" s="21">
        <f>COUNTIFS('Test Cases'!$B$2:$B$315,$A15,'Test Cases'!$E$2:$E$315,"Negative")</f>
        <v/>
      </c>
      <c r="F15" s="21">
        <f>COUNTIFS('Test Cases'!$B$2:$B$315,$A15,'Test Cases'!$E$2:$E$315,"Boundary")</f>
        <v/>
      </c>
      <c r="G15" s="21">
        <f>COUNTIFS('Test Cases'!$B$2:$B$315,$A15,'Test Cases'!$E$2:$E$315,"Edge")</f>
        <v/>
      </c>
      <c r="H15" s="21">
        <f>COUNTIFS('Test Cases'!$B$2:$B$315,$A15,'Test Cases'!$J$2:$J$315,"Pass")</f>
        <v/>
      </c>
      <c r="I15" s="21">
        <f>COUNTIFS('Test Cases'!$B$2:$B$315,$A15,'Test Cases'!$J$2:$J$315,"Fail")</f>
        <v/>
      </c>
      <c r="J15" s="21">
        <f>COUNTIFS('Test Cases'!$B$2:$B$315,$A15,'Test Cases'!$J$2:$J$315,"Blocked")</f>
        <v/>
      </c>
      <c r="K15" s="21">
        <f>COUNTIFS('Test Cases'!$B$2:$B$315,$A15,'Test Cases'!$J$2:$J$315,"Not Run")</f>
        <v/>
      </c>
      <c r="L15" s="22">
        <f>IF(C15=0,0,(C15-K15)/C15)</f>
        <v/>
      </c>
      <c r="M15" s="22">
        <f>IF((H15+I15+J15)=0,0,H15/(H15+I15+J15))</f>
        <v/>
      </c>
    </row>
    <row r="16" ht="15" customHeight="1" s="16">
      <c r="A16" s="20" t="inlineStr">
        <is>
          <t>Reversals, Refunds &amp; Failed Attempts</t>
        </is>
      </c>
      <c r="B16" s="21">
        <f>COUNTIF('Scenario Catalogue'!$B$2:$B$121,A16)</f>
        <v/>
      </c>
      <c r="C16" s="21">
        <f>COUNTIF('Test Cases'!$B$2:$B$315,A16)</f>
        <v/>
      </c>
      <c r="D16" s="21">
        <f>COUNTIFS('Test Cases'!$B$2:$B$315,$A16,'Test Cases'!$E$2:$E$315,"Positive")</f>
        <v/>
      </c>
      <c r="E16" s="21">
        <f>COUNTIFS('Test Cases'!$B$2:$B$315,$A16,'Test Cases'!$E$2:$E$315,"Negative")</f>
        <v/>
      </c>
      <c r="F16" s="21">
        <f>COUNTIFS('Test Cases'!$B$2:$B$315,$A16,'Test Cases'!$E$2:$E$315,"Boundary")</f>
        <v/>
      </c>
      <c r="G16" s="21">
        <f>COUNTIFS('Test Cases'!$B$2:$B$315,$A16,'Test Cases'!$E$2:$E$315,"Edge")</f>
        <v/>
      </c>
      <c r="H16" s="21">
        <f>COUNTIFS('Test Cases'!$B$2:$B$315,$A16,'Test Cases'!$J$2:$J$315,"Pass")</f>
        <v/>
      </c>
      <c r="I16" s="21">
        <f>COUNTIFS('Test Cases'!$B$2:$B$315,$A16,'Test Cases'!$J$2:$J$315,"Fail")</f>
        <v/>
      </c>
      <c r="J16" s="21">
        <f>COUNTIFS('Test Cases'!$B$2:$B$315,$A16,'Test Cases'!$J$2:$J$315,"Blocked")</f>
        <v/>
      </c>
      <c r="K16" s="21">
        <f>COUNTIFS('Test Cases'!$B$2:$B$315,$A16,'Test Cases'!$J$2:$J$315,"Not Run")</f>
        <v/>
      </c>
      <c r="L16" s="22">
        <f>IF(C16=0,0,(C16-K16)/C16)</f>
        <v/>
      </c>
      <c r="M16" s="22">
        <f>IF((H16+I16+J16)=0,0,H16/(H16+I16+J16))</f>
        <v/>
      </c>
    </row>
    <row r="17" ht="15" customHeight="1" s="16">
      <c r="A17" s="20" t="inlineStr">
        <is>
          <t>Circular &amp; Related-party</t>
        </is>
      </c>
      <c r="B17" s="21">
        <f>COUNTIF('Scenario Catalogue'!$B$2:$B$121,A17)</f>
        <v/>
      </c>
      <c r="C17" s="21">
        <f>COUNTIF('Test Cases'!$B$2:$B$315,A17)</f>
        <v/>
      </c>
      <c r="D17" s="21">
        <f>COUNTIFS('Test Cases'!$B$2:$B$315,$A17,'Test Cases'!$E$2:$E$315,"Positive")</f>
        <v/>
      </c>
      <c r="E17" s="21">
        <f>COUNTIFS('Test Cases'!$B$2:$B$315,$A17,'Test Cases'!$E$2:$E$315,"Negative")</f>
        <v/>
      </c>
      <c r="F17" s="21">
        <f>COUNTIFS('Test Cases'!$B$2:$B$315,$A17,'Test Cases'!$E$2:$E$315,"Boundary")</f>
        <v/>
      </c>
      <c r="G17" s="21">
        <f>COUNTIFS('Test Cases'!$B$2:$B$315,$A17,'Test Cases'!$E$2:$E$315,"Edge")</f>
        <v/>
      </c>
      <c r="H17" s="21">
        <f>COUNTIFS('Test Cases'!$B$2:$B$315,$A17,'Test Cases'!$J$2:$J$315,"Pass")</f>
        <v/>
      </c>
      <c r="I17" s="21">
        <f>COUNTIFS('Test Cases'!$B$2:$B$315,$A17,'Test Cases'!$J$2:$J$315,"Fail")</f>
        <v/>
      </c>
      <c r="J17" s="21">
        <f>COUNTIFS('Test Cases'!$B$2:$B$315,$A17,'Test Cases'!$J$2:$J$315,"Blocked")</f>
        <v/>
      </c>
      <c r="K17" s="21">
        <f>COUNTIFS('Test Cases'!$B$2:$B$315,$A17,'Test Cases'!$J$2:$J$315,"Not Run")</f>
        <v/>
      </c>
      <c r="L17" s="22">
        <f>IF(C17=0,0,(C17-K17)/C17)</f>
        <v/>
      </c>
      <c r="M17" s="22">
        <f>IF((H17+I17+J17)=0,0,H17/(H17+I17+J17))</f>
        <v/>
      </c>
    </row>
    <row r="18" ht="15" customHeight="1" s="16">
      <c r="A18" s="20" t="inlineStr">
        <is>
          <t>Money Mule</t>
        </is>
      </c>
      <c r="B18" s="21">
        <f>COUNTIF('Scenario Catalogue'!$B$2:$B$121,A18)</f>
        <v/>
      </c>
      <c r="C18" s="21">
        <f>COUNTIF('Test Cases'!$B$2:$B$315,A18)</f>
        <v/>
      </c>
      <c r="D18" s="21">
        <f>COUNTIFS('Test Cases'!$B$2:$B$315,$A18,'Test Cases'!$E$2:$E$315,"Positive")</f>
        <v/>
      </c>
      <c r="E18" s="21">
        <f>COUNTIFS('Test Cases'!$B$2:$B$315,$A18,'Test Cases'!$E$2:$E$315,"Negative")</f>
        <v/>
      </c>
      <c r="F18" s="21">
        <f>COUNTIFS('Test Cases'!$B$2:$B$315,$A18,'Test Cases'!$E$2:$E$315,"Boundary")</f>
        <v/>
      </c>
      <c r="G18" s="21">
        <f>COUNTIFS('Test Cases'!$B$2:$B$315,$A18,'Test Cases'!$E$2:$E$315,"Edge")</f>
        <v/>
      </c>
      <c r="H18" s="21">
        <f>COUNTIFS('Test Cases'!$B$2:$B$315,$A18,'Test Cases'!$J$2:$J$315,"Pass")</f>
        <v/>
      </c>
      <c r="I18" s="21">
        <f>COUNTIFS('Test Cases'!$B$2:$B$315,$A18,'Test Cases'!$J$2:$J$315,"Fail")</f>
        <v/>
      </c>
      <c r="J18" s="21">
        <f>COUNTIFS('Test Cases'!$B$2:$B$315,$A18,'Test Cases'!$J$2:$J$315,"Blocked")</f>
        <v/>
      </c>
      <c r="K18" s="21">
        <f>COUNTIFS('Test Cases'!$B$2:$B$315,$A18,'Test Cases'!$J$2:$J$315,"Not Run")</f>
        <v/>
      </c>
      <c r="L18" s="22">
        <f>IF(C18=0,0,(C18-K18)/C18)</f>
        <v/>
      </c>
      <c r="M18" s="22">
        <f>IF((H18+I18+J18)=0,0,H18/(H18+I18+J18))</f>
        <v/>
      </c>
    </row>
    <row r="19" ht="15" customHeight="1" s="16">
      <c r="A19" s="20" t="inlineStr">
        <is>
          <t>Cross-border Remittance</t>
        </is>
      </c>
      <c r="B19" s="21">
        <f>COUNTIF('Scenario Catalogue'!$B$2:$B$121,A19)</f>
        <v/>
      </c>
      <c r="C19" s="21">
        <f>COUNTIF('Test Cases'!$B$2:$B$315,A19)</f>
        <v/>
      </c>
      <c r="D19" s="21">
        <f>COUNTIFS('Test Cases'!$B$2:$B$315,$A19,'Test Cases'!$E$2:$E$315,"Positive")</f>
        <v/>
      </c>
      <c r="E19" s="21">
        <f>COUNTIFS('Test Cases'!$B$2:$B$315,$A19,'Test Cases'!$E$2:$E$315,"Negative")</f>
        <v/>
      </c>
      <c r="F19" s="21">
        <f>COUNTIFS('Test Cases'!$B$2:$B$315,$A19,'Test Cases'!$E$2:$E$315,"Boundary")</f>
        <v/>
      </c>
      <c r="G19" s="21">
        <f>COUNTIFS('Test Cases'!$B$2:$B$315,$A19,'Test Cases'!$E$2:$E$315,"Edge")</f>
        <v/>
      </c>
      <c r="H19" s="21">
        <f>COUNTIFS('Test Cases'!$B$2:$B$315,$A19,'Test Cases'!$J$2:$J$315,"Pass")</f>
        <v/>
      </c>
      <c r="I19" s="21">
        <f>COUNTIFS('Test Cases'!$B$2:$B$315,$A19,'Test Cases'!$J$2:$J$315,"Fail")</f>
        <v/>
      </c>
      <c r="J19" s="21">
        <f>COUNTIFS('Test Cases'!$B$2:$B$315,$A19,'Test Cases'!$J$2:$J$315,"Blocked")</f>
        <v/>
      </c>
      <c r="K19" s="21">
        <f>COUNTIFS('Test Cases'!$B$2:$B$315,$A19,'Test Cases'!$J$2:$J$315,"Not Run")</f>
        <v/>
      </c>
      <c r="L19" s="22">
        <f>IF(C19=0,0,(C19-K19)/C19)</f>
        <v/>
      </c>
      <c r="M19" s="22">
        <f>IF((H19+I19+J19)=0,0,H19/(H19+I19+J19))</f>
        <v/>
      </c>
    </row>
    <row r="20" ht="15" customHeight="1" s="16">
      <c r="A20" s="20" t="inlineStr">
        <is>
          <t>Top-ups, Vouchers &amp; Bill Payments</t>
        </is>
      </c>
      <c r="B20" s="21">
        <f>COUNTIF('Scenario Catalogue'!$B$2:$B$121,A20)</f>
        <v/>
      </c>
      <c r="C20" s="21">
        <f>COUNTIF('Test Cases'!$B$2:$B$315,A20)</f>
        <v/>
      </c>
      <c r="D20" s="21">
        <f>COUNTIFS('Test Cases'!$B$2:$B$315,$A20,'Test Cases'!$E$2:$E$315,"Positive")</f>
        <v/>
      </c>
      <c r="E20" s="21">
        <f>COUNTIFS('Test Cases'!$B$2:$B$315,$A20,'Test Cases'!$E$2:$E$315,"Negative")</f>
        <v/>
      </c>
      <c r="F20" s="21">
        <f>COUNTIFS('Test Cases'!$B$2:$B$315,$A20,'Test Cases'!$E$2:$E$315,"Boundary")</f>
        <v/>
      </c>
      <c r="G20" s="21">
        <f>COUNTIFS('Test Cases'!$B$2:$B$315,$A20,'Test Cases'!$E$2:$E$315,"Edge")</f>
        <v/>
      </c>
      <c r="H20" s="21">
        <f>COUNTIFS('Test Cases'!$B$2:$B$315,$A20,'Test Cases'!$J$2:$J$315,"Pass")</f>
        <v/>
      </c>
      <c r="I20" s="21">
        <f>COUNTIFS('Test Cases'!$B$2:$B$315,$A20,'Test Cases'!$J$2:$J$315,"Fail")</f>
        <v/>
      </c>
      <c r="J20" s="21">
        <f>COUNTIFS('Test Cases'!$B$2:$B$315,$A20,'Test Cases'!$J$2:$J$315,"Blocked")</f>
        <v/>
      </c>
      <c r="K20" s="21">
        <f>COUNTIFS('Test Cases'!$B$2:$B$315,$A20,'Test Cases'!$J$2:$J$315,"Not Run")</f>
        <v/>
      </c>
      <c r="L20" s="22">
        <f>IF(C20=0,0,(C20-K20)/C20)</f>
        <v/>
      </c>
      <c r="M20" s="22">
        <f>IF((H20+I20+J20)=0,0,H20/(H20+I20+J20))</f>
        <v/>
      </c>
    </row>
    <row r="21" ht="15" customHeight="1" s="16">
      <c r="A21" s="20" t="inlineStr">
        <is>
          <t>Terrorist Financing Indicators</t>
        </is>
      </c>
      <c r="B21" s="21">
        <f>COUNTIF('Scenario Catalogue'!$B$2:$B$121,A21)</f>
        <v/>
      </c>
      <c r="C21" s="21">
        <f>COUNTIF('Test Cases'!$B$2:$B$315,A21)</f>
        <v/>
      </c>
      <c r="D21" s="21">
        <f>COUNTIFS('Test Cases'!$B$2:$B$315,$A21,'Test Cases'!$E$2:$E$315,"Positive")</f>
        <v/>
      </c>
      <c r="E21" s="21">
        <f>COUNTIFS('Test Cases'!$B$2:$B$315,$A21,'Test Cases'!$E$2:$E$315,"Negative")</f>
        <v/>
      </c>
      <c r="F21" s="21">
        <f>COUNTIFS('Test Cases'!$B$2:$B$315,$A21,'Test Cases'!$E$2:$E$315,"Boundary")</f>
        <v/>
      </c>
      <c r="G21" s="21">
        <f>COUNTIFS('Test Cases'!$B$2:$B$315,$A21,'Test Cases'!$E$2:$E$315,"Edge")</f>
        <v/>
      </c>
      <c r="H21" s="21">
        <f>COUNTIFS('Test Cases'!$B$2:$B$315,$A21,'Test Cases'!$J$2:$J$315,"Pass")</f>
        <v/>
      </c>
      <c r="I21" s="21">
        <f>COUNTIFS('Test Cases'!$B$2:$B$315,$A21,'Test Cases'!$J$2:$J$315,"Fail")</f>
        <v/>
      </c>
      <c r="J21" s="21">
        <f>COUNTIFS('Test Cases'!$B$2:$B$315,$A21,'Test Cases'!$J$2:$J$315,"Blocked")</f>
        <v/>
      </c>
      <c r="K21" s="21">
        <f>COUNTIFS('Test Cases'!$B$2:$B$315,$A21,'Test Cases'!$J$2:$J$315,"Not Run")</f>
        <v/>
      </c>
      <c r="L21" s="22">
        <f>IF(C21=0,0,(C21-K21)/C21)</f>
        <v/>
      </c>
      <c r="M21" s="22">
        <f>IF((H21+I21+J21)=0,0,H21/(H21+I21+J21))</f>
        <v/>
      </c>
    </row>
    <row r="22" ht="15" customHeight="1" s="16">
      <c r="A22" s="20" t="inlineStr">
        <is>
          <t>Sanctions &amp; High-risk Counterparties</t>
        </is>
      </c>
      <c r="B22" s="21">
        <f>COUNTIF('Scenario Catalogue'!$B$2:$B$121,A22)</f>
        <v/>
      </c>
      <c r="C22" s="21">
        <f>COUNTIF('Test Cases'!$B$2:$B$315,A22)</f>
        <v/>
      </c>
      <c r="D22" s="21">
        <f>COUNTIFS('Test Cases'!$B$2:$B$315,$A22,'Test Cases'!$E$2:$E$315,"Positive")</f>
        <v/>
      </c>
      <c r="E22" s="21">
        <f>COUNTIFS('Test Cases'!$B$2:$B$315,$A22,'Test Cases'!$E$2:$E$315,"Negative")</f>
        <v/>
      </c>
      <c r="F22" s="21">
        <f>COUNTIFS('Test Cases'!$B$2:$B$315,$A22,'Test Cases'!$E$2:$E$315,"Boundary")</f>
        <v/>
      </c>
      <c r="G22" s="21">
        <f>COUNTIFS('Test Cases'!$B$2:$B$315,$A22,'Test Cases'!$E$2:$E$315,"Edge")</f>
        <v/>
      </c>
      <c r="H22" s="21">
        <f>COUNTIFS('Test Cases'!$B$2:$B$315,$A22,'Test Cases'!$J$2:$J$315,"Pass")</f>
        <v/>
      </c>
      <c r="I22" s="21">
        <f>COUNTIFS('Test Cases'!$B$2:$B$315,$A22,'Test Cases'!$J$2:$J$315,"Fail")</f>
        <v/>
      </c>
      <c r="J22" s="21">
        <f>COUNTIFS('Test Cases'!$B$2:$B$315,$A22,'Test Cases'!$J$2:$J$315,"Blocked")</f>
        <v/>
      </c>
      <c r="K22" s="21">
        <f>COUNTIFS('Test Cases'!$B$2:$B$315,$A22,'Test Cases'!$J$2:$J$315,"Not Run")</f>
        <v/>
      </c>
      <c r="L22" s="22">
        <f>IF(C22=0,0,(C22-K22)/C22)</f>
        <v/>
      </c>
      <c r="M22" s="22">
        <f>IF((H22+I22+J22)=0,0,H22/(H22+I22+J22))</f>
        <v/>
      </c>
    </row>
    <row r="23" ht="15" customHeight="1" s="16">
      <c r="A23" s="20" t="inlineStr">
        <is>
          <t>Account Takeover Overlap (FRAML)</t>
        </is>
      </c>
      <c r="B23" s="21">
        <f>COUNTIF('Scenario Catalogue'!$B$2:$B$121,A23)</f>
        <v/>
      </c>
      <c r="C23" s="21">
        <f>COUNTIF('Test Cases'!$B$2:$B$315,A23)</f>
        <v/>
      </c>
      <c r="D23" s="21">
        <f>COUNTIFS('Test Cases'!$B$2:$B$315,$A23,'Test Cases'!$E$2:$E$315,"Positive")</f>
        <v/>
      </c>
      <c r="E23" s="21">
        <f>COUNTIFS('Test Cases'!$B$2:$B$315,$A23,'Test Cases'!$E$2:$E$315,"Negative")</f>
        <v/>
      </c>
      <c r="F23" s="21">
        <f>COUNTIFS('Test Cases'!$B$2:$B$315,$A23,'Test Cases'!$E$2:$E$315,"Boundary")</f>
        <v/>
      </c>
      <c r="G23" s="21">
        <f>COUNTIFS('Test Cases'!$B$2:$B$315,$A23,'Test Cases'!$E$2:$E$315,"Edge")</f>
        <v/>
      </c>
      <c r="H23" s="21">
        <f>COUNTIFS('Test Cases'!$B$2:$B$315,$A23,'Test Cases'!$J$2:$J$315,"Pass")</f>
        <v/>
      </c>
      <c r="I23" s="21">
        <f>COUNTIFS('Test Cases'!$B$2:$B$315,$A23,'Test Cases'!$J$2:$J$315,"Fail")</f>
        <v/>
      </c>
      <c r="J23" s="21">
        <f>COUNTIFS('Test Cases'!$B$2:$B$315,$A23,'Test Cases'!$J$2:$J$315,"Blocked")</f>
        <v/>
      </c>
      <c r="K23" s="21">
        <f>COUNTIFS('Test Cases'!$B$2:$B$315,$A23,'Test Cases'!$J$2:$J$315,"Not Run")</f>
        <v/>
      </c>
      <c r="L23" s="22">
        <f>IF(C23=0,0,(C23-K23)/C23)</f>
        <v/>
      </c>
      <c r="M23" s="22">
        <f>IF((H23+I23+J23)=0,0,H23/(H23+I23+J23))</f>
        <v/>
      </c>
    </row>
    <row r="24" ht="15" customHeight="1" s="16">
      <c r="A24" s="20" t="inlineStr">
        <is>
          <t>Virtual Assets &amp; Gambling</t>
        </is>
      </c>
      <c r="B24" s="21">
        <f>COUNTIF('Scenario Catalogue'!$B$2:$B$121,A24)</f>
        <v/>
      </c>
      <c r="C24" s="21">
        <f>COUNTIF('Test Cases'!$B$2:$B$315,A24)</f>
        <v/>
      </c>
      <c r="D24" s="21">
        <f>COUNTIFS('Test Cases'!$B$2:$B$315,$A24,'Test Cases'!$E$2:$E$315,"Positive")</f>
        <v/>
      </c>
      <c r="E24" s="21">
        <f>COUNTIFS('Test Cases'!$B$2:$B$315,$A24,'Test Cases'!$E$2:$E$315,"Negative")</f>
        <v/>
      </c>
      <c r="F24" s="21">
        <f>COUNTIFS('Test Cases'!$B$2:$B$315,$A24,'Test Cases'!$E$2:$E$315,"Boundary")</f>
        <v/>
      </c>
      <c r="G24" s="21">
        <f>COUNTIFS('Test Cases'!$B$2:$B$315,$A24,'Test Cases'!$E$2:$E$315,"Edge")</f>
        <v/>
      </c>
      <c r="H24" s="21">
        <f>COUNTIFS('Test Cases'!$B$2:$B$315,$A24,'Test Cases'!$J$2:$J$315,"Pass")</f>
        <v/>
      </c>
      <c r="I24" s="21">
        <f>COUNTIFS('Test Cases'!$B$2:$B$315,$A24,'Test Cases'!$J$2:$J$315,"Fail")</f>
        <v/>
      </c>
      <c r="J24" s="21">
        <f>COUNTIFS('Test Cases'!$B$2:$B$315,$A24,'Test Cases'!$J$2:$J$315,"Blocked")</f>
        <v/>
      </c>
      <c r="K24" s="21">
        <f>COUNTIFS('Test Cases'!$B$2:$B$315,$A24,'Test Cases'!$J$2:$J$315,"Not Run")</f>
        <v/>
      </c>
      <c r="L24" s="22">
        <f>IF(C24=0,0,(C24-K24)/C24)</f>
        <v/>
      </c>
      <c r="M24" s="22">
        <f>IF((H24+I24+J24)=0,0,H24/(H24+I24+J24))</f>
        <v/>
      </c>
    </row>
    <row r="25" ht="15" customHeight="1" s="16">
      <c r="A25" s="20" t="inlineStr">
        <is>
          <t>Engine Edge Cases (applies to all scenarios)</t>
        </is>
      </c>
      <c r="B25" s="21">
        <f>COUNTIF('Scenario Catalogue'!$B$2:$B$121,A25)</f>
        <v/>
      </c>
      <c r="C25" s="21">
        <f>COUNTIF('Test Cases'!$B$2:$B$315,A25)</f>
        <v/>
      </c>
      <c r="D25" s="21">
        <f>COUNTIFS('Test Cases'!$B$2:$B$315,$A25,'Test Cases'!$E$2:$E$315,"Positive")</f>
        <v/>
      </c>
      <c r="E25" s="21">
        <f>COUNTIFS('Test Cases'!$B$2:$B$315,$A25,'Test Cases'!$E$2:$E$315,"Negative")</f>
        <v/>
      </c>
      <c r="F25" s="21">
        <f>COUNTIFS('Test Cases'!$B$2:$B$315,$A25,'Test Cases'!$E$2:$E$315,"Boundary")</f>
        <v/>
      </c>
      <c r="G25" s="21">
        <f>COUNTIFS('Test Cases'!$B$2:$B$315,$A25,'Test Cases'!$E$2:$E$315,"Edge")</f>
        <v/>
      </c>
      <c r="H25" s="21">
        <f>COUNTIFS('Test Cases'!$B$2:$B$315,$A25,'Test Cases'!$J$2:$J$315,"Pass")</f>
        <v/>
      </c>
      <c r="I25" s="21">
        <f>COUNTIFS('Test Cases'!$B$2:$B$315,$A25,'Test Cases'!$J$2:$J$315,"Fail")</f>
        <v/>
      </c>
      <c r="J25" s="21">
        <f>COUNTIFS('Test Cases'!$B$2:$B$315,$A25,'Test Cases'!$J$2:$J$315,"Blocked")</f>
        <v/>
      </c>
      <c r="K25" s="21">
        <f>COUNTIFS('Test Cases'!$B$2:$B$315,$A25,'Test Cases'!$J$2:$J$315,"Not Run")</f>
        <v/>
      </c>
      <c r="L25" s="22">
        <f>IF(C25=0,0,(C25-K25)/C25)</f>
        <v/>
      </c>
      <c r="M25" s="22">
        <f>IF((H25+I25+J25)=0,0,H25/(H25+I25+J25))</f>
        <v/>
      </c>
    </row>
    <row r="26" ht="15" customHeight="1" s="16">
      <c r="A26" s="23" t="inlineStr">
        <is>
          <t>Total</t>
        </is>
      </c>
      <c r="B26" s="24">
        <f>SUM(B5:B25)</f>
        <v/>
      </c>
      <c r="C26" s="24">
        <f>SUM(C5:C25)</f>
        <v/>
      </c>
      <c r="D26" s="24">
        <f>SUM(D5:D25)</f>
        <v/>
      </c>
      <c r="E26" s="24">
        <f>SUM(E5:E25)</f>
        <v/>
      </c>
      <c r="F26" s="24">
        <f>SUM(F5:F25)</f>
        <v/>
      </c>
      <c r="G26" s="24">
        <f>SUM(G5:G25)</f>
        <v/>
      </c>
      <c r="H26" s="24">
        <f>SUM(H5:H25)</f>
        <v/>
      </c>
      <c r="I26" s="24">
        <f>SUM(I5:I25)</f>
        <v/>
      </c>
      <c r="J26" s="24">
        <f>SUM(J5:J25)</f>
        <v/>
      </c>
      <c r="K26" s="24">
        <f>SUM(K5:K25)</f>
        <v/>
      </c>
      <c r="L26" s="25">
        <f>IF(C26=0,0,(C26-K26)/C26)</f>
        <v/>
      </c>
      <c r="M26" s="25">
        <f>IF((H26+I26+J26)=0,0,H26/(H26+I26+J26))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121"/>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15" min="1" max="1"/>
    <col width="26" customWidth="1" style="15" min="2" max="2"/>
    <col width="36" customWidth="1" style="15" min="3" max="3"/>
    <col width="60" customWidth="1" style="15" min="4" max="4"/>
    <col width="40" customWidth="1" style="15" min="5" max="5"/>
    <col width="10" customWidth="1" style="15" min="6" max="6"/>
    <col width="8" customWidth="1" style="15" min="7" max="7"/>
    <col width="9" customWidth="1" style="15" min="8" max="8"/>
  </cols>
  <sheetData>
    <row r="1" ht="30" customHeight="1" s="16">
      <c r="A1" s="19" t="inlineStr">
        <is>
          <t>Scenario ID</t>
        </is>
      </c>
      <c r="B1" s="19" t="inlineStr">
        <is>
          <t>Category</t>
        </is>
      </c>
      <c r="C1" s="19" t="inlineStr">
        <is>
          <t>Scenario</t>
        </is>
      </c>
      <c r="D1" s="19" t="inlineStr">
        <is>
          <t>Detection Logic</t>
        </is>
      </c>
      <c r="E1" s="19" t="inlineStr">
        <is>
          <t>Default Parameters (configurable)</t>
        </is>
      </c>
      <c r="F1" s="19" t="inlineStr">
        <is>
          <t>Alert Severity</t>
        </is>
      </c>
      <c r="G1" s="19" t="inlineStr">
        <is>
          <t>Priority</t>
        </is>
      </c>
      <c r="H1" s="19" t="inlineStr">
        <is>
          <t># Test Cases</t>
        </is>
      </c>
    </row>
    <row r="2" ht="22.35" customHeight="1" s="16">
      <c r="A2" s="26" t="inlineStr">
        <is>
          <t>VEL-01</t>
        </is>
      </c>
      <c r="B2" s="26" t="inlineStr">
        <is>
          <t>Velocity &amp; Frequency</t>
        </is>
      </c>
      <c r="C2" s="26" t="inlineStr">
        <is>
          <t>High count of cash withdrawals per day</t>
        </is>
      </c>
      <c r="D2" s="26" t="inlineStr">
        <is>
          <t>Count of completed cash-out/withdrawal transactions by the same customer within one calendar day (local time) ≥ N</t>
        </is>
      </c>
      <c r="E2" s="26" t="inlineStr">
        <is>
          <t>N=20 per day; channels=Agent, ATM; statuses counted=Completed</t>
        </is>
      </c>
      <c r="F2" s="26" t="inlineStr">
        <is>
          <t>High</t>
        </is>
      </c>
      <c r="G2" s="26" t="inlineStr">
        <is>
          <t>P1</t>
        </is>
      </c>
      <c r="H2" s="27">
        <f>COUNTIF('Test Cases'!$C$2:$C$315,A2)</f>
        <v/>
      </c>
    </row>
    <row r="3" ht="15" customHeight="1" s="16">
      <c r="A3" s="26" t="inlineStr">
        <is>
          <t>VEL-02</t>
        </is>
      </c>
      <c r="B3" s="26" t="inlineStr">
        <is>
          <t>Velocity &amp; Frequency</t>
        </is>
      </c>
      <c r="C3" s="26" t="inlineStr">
        <is>
          <t>High count of withdrawals per hour (burst)</t>
        </is>
      </c>
      <c r="D3" s="26" t="inlineStr">
        <is>
          <t>Count of withdrawals within a rolling 60-minute window ≥ N</t>
        </is>
      </c>
      <c r="E3" s="26" t="inlineStr">
        <is>
          <t>N=8 per rolling hour</t>
        </is>
      </c>
      <c r="F3" s="26" t="inlineStr">
        <is>
          <t>High</t>
        </is>
      </c>
      <c r="G3" s="26" t="inlineStr">
        <is>
          <t>P1</t>
        </is>
      </c>
      <c r="H3" s="27">
        <f>COUNTIF('Test Cases'!$C$2:$C$315,A3)</f>
        <v/>
      </c>
    </row>
    <row r="4" ht="15" customHeight="1" s="16">
      <c r="A4" s="26" t="inlineStr">
        <is>
          <t>VEL-03</t>
        </is>
      </c>
      <c r="B4" s="26" t="inlineStr">
        <is>
          <t>Velocity &amp; Frequency</t>
        </is>
      </c>
      <c r="C4" s="26" t="inlineStr">
        <is>
          <t>High count of outgoing P2P transfers per day</t>
        </is>
      </c>
      <c r="D4" s="26" t="inlineStr">
        <is>
          <t>Count of outgoing wallet-to-wallet transfers per customer per day ≥ N</t>
        </is>
      </c>
      <c r="E4" s="26" t="inlineStr">
        <is>
          <t>N=30 per day</t>
        </is>
      </c>
      <c r="F4" s="26" t="inlineStr">
        <is>
          <t>Medium</t>
        </is>
      </c>
      <c r="G4" s="26" t="inlineStr">
        <is>
          <t>P1</t>
        </is>
      </c>
      <c r="H4" s="27">
        <f>COUNTIF('Test Cases'!$C$2:$C$315,A4)</f>
        <v/>
      </c>
    </row>
    <row r="5" ht="15" customHeight="1" s="16">
      <c r="A5" s="26" t="inlineStr">
        <is>
          <t>VEL-04</t>
        </is>
      </c>
      <c r="B5" s="26" t="inlineStr">
        <is>
          <t>Velocity &amp; Frequency</t>
        </is>
      </c>
      <c r="C5" s="26" t="inlineStr">
        <is>
          <t>High count of incoming transfers per day</t>
        </is>
      </c>
      <c r="D5" s="26" t="inlineStr">
        <is>
          <t>Count of incoming transfers to one customer per day ≥ N</t>
        </is>
      </c>
      <c r="E5" s="26" t="inlineStr">
        <is>
          <t>N=25 per day</t>
        </is>
      </c>
      <c r="F5" s="26" t="inlineStr">
        <is>
          <t>Medium</t>
        </is>
      </c>
      <c r="G5" s="26" t="inlineStr">
        <is>
          <t>P1</t>
        </is>
      </c>
      <c r="H5" s="27">
        <f>COUNTIF('Test Cases'!$C$2:$C$315,A5)</f>
        <v/>
      </c>
    </row>
    <row r="6" ht="15" customHeight="1" s="16">
      <c r="A6" s="26" t="inlineStr">
        <is>
          <t>VEL-05</t>
        </is>
      </c>
      <c r="B6" s="26" t="inlineStr">
        <is>
          <t>Velocity &amp; Frequency</t>
        </is>
      </c>
      <c r="C6" s="26" t="inlineStr">
        <is>
          <t>Weekly transaction count spike</t>
        </is>
      </c>
      <c r="D6" s="26" t="inlineStr">
        <is>
          <t>Count of all financial transactions in a rolling 7 days ≥ N</t>
        </is>
      </c>
      <c r="E6" s="26" t="inlineStr">
        <is>
          <t>N=100 per 7 days (individual)</t>
        </is>
      </c>
      <c r="F6" s="26" t="inlineStr">
        <is>
          <t>Medium</t>
        </is>
      </c>
      <c r="G6" s="26" t="inlineStr">
        <is>
          <t>P2</t>
        </is>
      </c>
      <c r="H6" s="27">
        <f>COUNTIF('Test Cases'!$C$2:$C$315,A6)</f>
        <v/>
      </c>
    </row>
    <row r="7" ht="22.35" customHeight="1" s="16">
      <c r="A7" s="26" t="inlineStr">
        <is>
          <t>VEL-06</t>
        </is>
      </c>
      <c r="B7" s="26" t="inlineStr">
        <is>
          <t>Velocity &amp; Frequency</t>
        </is>
      </c>
      <c r="C7" s="26" t="inlineStr">
        <is>
          <t>Many transactions within minutes of account opening</t>
        </is>
      </c>
      <c r="D7" s="26" t="inlineStr">
        <is>
          <t>Count of transactions within X hours after registration ≥ N</t>
        </is>
      </c>
      <c r="E7" s="26" t="inlineStr">
        <is>
          <t>X=24 hours; N=10</t>
        </is>
      </c>
      <c r="F7" s="26" t="inlineStr">
        <is>
          <t>High</t>
        </is>
      </c>
      <c r="G7" s="26" t="inlineStr">
        <is>
          <t>P1</t>
        </is>
      </c>
      <c r="H7" s="27">
        <f>COUNTIF('Test Cases'!$C$2:$C$315,A7)</f>
        <v/>
      </c>
    </row>
    <row r="8" ht="22.35" customHeight="1" s="16">
      <c r="A8" s="26" t="inlineStr">
        <is>
          <t>VEL-07</t>
        </is>
      </c>
      <c r="B8" s="26" t="inlineStr">
        <is>
          <t>Velocity &amp; Frequency</t>
        </is>
      </c>
      <c r="C8" s="26" t="inlineStr">
        <is>
          <t>Transactions at regular fixed intervals (automation)</t>
        </is>
      </c>
      <c r="D8" s="26" t="inlineStr">
        <is>
          <t>≥ N transactions with near-identical time gaps (std-dev of gaps ≤ T seconds)</t>
        </is>
      </c>
      <c r="E8" s="26" t="inlineStr">
        <is>
          <t>N=10; T=5 seconds</t>
        </is>
      </c>
      <c r="F8" s="26" t="inlineStr">
        <is>
          <t>Medium</t>
        </is>
      </c>
      <c r="G8" s="26" t="inlineStr">
        <is>
          <t>P2</t>
        </is>
      </c>
      <c r="H8" s="27">
        <f>COUNTIF('Test Cases'!$C$2:$C$315,A8)</f>
        <v/>
      </c>
    </row>
    <row r="9" ht="22.35" customHeight="1" s="16">
      <c r="A9" s="26" t="inlineStr">
        <is>
          <t>VEL-08</t>
        </is>
      </c>
      <c r="B9" s="26" t="inlineStr">
        <is>
          <t>Velocity &amp; Frequency</t>
        </is>
      </c>
      <c r="C9" s="26" t="inlineStr">
        <is>
          <t>High count of distinct channels in a day</t>
        </is>
      </c>
      <c r="D9" s="26" t="inlineStr">
        <is>
          <t>Number of distinct channels used (App, Agent, ATM, USSD, Web) in one day ≥ N with total amount ≥ A</t>
        </is>
      </c>
      <c r="E9" s="26" t="inlineStr">
        <is>
          <t>N=4; A=1,000</t>
        </is>
      </c>
      <c r="F9" s="26" t="inlineStr">
        <is>
          <t>Low</t>
        </is>
      </c>
      <c r="G9" s="26" t="inlineStr">
        <is>
          <t>P3</t>
        </is>
      </c>
      <c r="H9" s="27">
        <f>COUNTIF('Test Cases'!$C$2:$C$315,A9)</f>
        <v/>
      </c>
    </row>
    <row r="10" ht="15" customHeight="1" s="16">
      <c r="A10" s="26" t="inlineStr">
        <is>
          <t>AMT-01</t>
        </is>
      </c>
      <c r="B10" s="26" t="inlineStr">
        <is>
          <t>Amount &amp; Thresholds</t>
        </is>
      </c>
      <c r="C10" s="26" t="inlineStr">
        <is>
          <t>Single large transaction</t>
        </is>
      </c>
      <c r="D10" s="26" t="inlineStr">
        <is>
          <t>Single transaction amount ≥ threshold for customer type</t>
        </is>
      </c>
      <c r="E10" s="26" t="inlineStr">
        <is>
          <t>Individual 10,000; Corporate 50,000 (base currency)</t>
        </is>
      </c>
      <c r="F10" s="26" t="inlineStr">
        <is>
          <t>Medium</t>
        </is>
      </c>
      <c r="G10" s="26" t="inlineStr">
        <is>
          <t>P1</t>
        </is>
      </c>
      <c r="H10" s="27">
        <f>COUNTIF('Test Cases'!$C$2:$C$315,A10)</f>
        <v/>
      </c>
    </row>
    <row r="11" ht="15" customHeight="1" s="16">
      <c r="A11" s="26" t="inlineStr">
        <is>
          <t>AMT-02</t>
        </is>
      </c>
      <c r="B11" s="26" t="inlineStr">
        <is>
          <t>Amount &amp; Thresholds</t>
        </is>
      </c>
      <c r="C11" s="26" t="inlineStr">
        <is>
          <t>Daily cumulative amount</t>
        </is>
      </c>
      <c r="D11" s="26" t="inlineStr">
        <is>
          <t>Sum of outgoing amounts per customer per calendar day ≥ A</t>
        </is>
      </c>
      <c r="E11" s="26" t="inlineStr">
        <is>
          <t>A=5,000 (individual)</t>
        </is>
      </c>
      <c r="F11" s="26" t="inlineStr">
        <is>
          <t>Medium</t>
        </is>
      </c>
      <c r="G11" s="26" t="inlineStr">
        <is>
          <t>P1</t>
        </is>
      </c>
      <c r="H11" s="27">
        <f>COUNTIF('Test Cases'!$C$2:$C$315,A11)</f>
        <v/>
      </c>
    </row>
    <row r="12" ht="15" customHeight="1" s="16">
      <c r="A12" s="26" t="inlineStr">
        <is>
          <t>AMT-03</t>
        </is>
      </c>
      <c r="B12" s="26" t="inlineStr">
        <is>
          <t>Amount &amp; Thresholds</t>
        </is>
      </c>
      <c r="C12" s="26" t="inlineStr">
        <is>
          <t>Monthly cumulative amount vs declared income</t>
        </is>
      </c>
      <c r="D12" s="26" t="inlineStr">
        <is>
          <t>Monthly incoming amount &gt; K × declared monthly income</t>
        </is>
      </c>
      <c r="E12" s="26" t="inlineStr">
        <is>
          <t>K=3</t>
        </is>
      </c>
      <c r="F12" s="26" t="inlineStr">
        <is>
          <t>High</t>
        </is>
      </c>
      <c r="G12" s="26" t="inlineStr">
        <is>
          <t>P1</t>
        </is>
      </c>
      <c r="H12" s="27">
        <f>COUNTIF('Test Cases'!$C$2:$C$315,A12)</f>
        <v/>
      </c>
    </row>
    <row r="13" ht="22.35" customHeight="1" s="16">
      <c r="A13" s="26" t="inlineStr">
        <is>
          <t>AMT-04</t>
        </is>
      </c>
      <c r="B13" s="26" t="inlineStr">
        <is>
          <t>Amount &amp; Thresholds</t>
        </is>
      </c>
      <c r="C13" s="26" t="inlineStr">
        <is>
          <t>Transaction amount vs expected activity in KYC</t>
        </is>
      </c>
      <c r="D13" s="26" t="inlineStr">
        <is>
          <t>Monthly volume exceeds expected monthly activity declared at onboarding by P%</t>
        </is>
      </c>
      <c r="E13" s="26" t="inlineStr">
        <is>
          <t>P=200%</t>
        </is>
      </c>
      <c r="F13" s="26" t="inlineStr">
        <is>
          <t>Medium</t>
        </is>
      </c>
      <c r="G13" s="26" t="inlineStr">
        <is>
          <t>P1</t>
        </is>
      </c>
      <c r="H13" s="27">
        <f>COUNTIF('Test Cases'!$C$2:$C$315,A13)</f>
        <v/>
      </c>
    </row>
    <row r="14" ht="15" customHeight="1" s="16">
      <c r="A14" s="26" t="inlineStr">
        <is>
          <t>AMT-05</t>
        </is>
      </c>
      <c r="B14" s="26" t="inlineStr">
        <is>
          <t>Amount &amp; Thresholds</t>
        </is>
      </c>
      <c r="C14" s="26" t="inlineStr">
        <is>
          <t>Deviation from own historical average</t>
        </is>
      </c>
      <c r="D14" s="26" t="inlineStr">
        <is>
          <t>Amount in period &gt; M × customer's 90-day average for same period length</t>
        </is>
      </c>
      <c r="E14" s="26" t="inlineStr">
        <is>
          <t>M=5; lookback=90 days; min history=30 days</t>
        </is>
      </c>
      <c r="F14" s="26" t="inlineStr">
        <is>
          <t>Medium</t>
        </is>
      </c>
      <c r="G14" s="26" t="inlineStr">
        <is>
          <t>P1</t>
        </is>
      </c>
      <c r="H14" s="27">
        <f>COUNTIF('Test Cases'!$C$2:$C$315,A14)</f>
        <v/>
      </c>
    </row>
    <row r="15" ht="15" customHeight="1" s="16">
      <c r="A15" s="26" t="inlineStr">
        <is>
          <t>AMT-06</t>
        </is>
      </c>
      <c r="B15" s="26" t="inlineStr">
        <is>
          <t>Amount &amp; Thresholds</t>
        </is>
      </c>
      <c r="C15" s="26" t="inlineStr">
        <is>
          <t>Deviation from peer group</t>
        </is>
      </c>
      <c r="D15" s="26" t="inlineStr">
        <is>
          <t>Customer volume &gt; P percentile of peer group (same type, segment, region)</t>
        </is>
      </c>
      <c r="E15" s="26" t="inlineStr">
        <is>
          <t>P=99th percentile; peer group size ≥ 50</t>
        </is>
      </c>
      <c r="F15" s="26" t="inlineStr">
        <is>
          <t>Medium</t>
        </is>
      </c>
      <c r="G15" s="26" t="inlineStr">
        <is>
          <t>P2</t>
        </is>
      </c>
      <c r="H15" s="27">
        <f>COUNTIF('Test Cases'!$C$2:$C$315,A15)</f>
        <v/>
      </c>
    </row>
    <row r="16" ht="15" customHeight="1" s="16">
      <c r="A16" s="26" t="inlineStr">
        <is>
          <t>AMT-07</t>
        </is>
      </c>
      <c r="B16" s="26" t="inlineStr">
        <is>
          <t>Amount &amp; Thresholds</t>
        </is>
      </c>
      <c r="C16" s="26" t="inlineStr">
        <is>
          <t>Round-amount transactions</t>
        </is>
      </c>
      <c r="D16" s="26" t="inlineStr">
        <is>
          <t>≥ N transactions with amounts that are exact multiples of R within D days</t>
        </is>
      </c>
      <c r="E16" s="26" t="inlineStr">
        <is>
          <t>N=5; R=100; D=7</t>
        </is>
      </c>
      <c r="F16" s="26" t="inlineStr">
        <is>
          <t>Low</t>
        </is>
      </c>
      <c r="G16" s="26" t="inlineStr">
        <is>
          <t>P2</t>
        </is>
      </c>
      <c r="H16" s="27">
        <f>COUNTIF('Test Cases'!$C$2:$C$315,A16)</f>
        <v/>
      </c>
    </row>
    <row r="17" ht="15" customHeight="1" s="16">
      <c r="A17" s="26" t="inlineStr">
        <is>
          <t>AMT-08</t>
        </is>
      </c>
      <c r="B17" s="26" t="inlineStr">
        <is>
          <t>Amount &amp; Thresholds</t>
        </is>
      </c>
      <c r="C17" s="26" t="inlineStr">
        <is>
          <t>Large transaction on low-risk product</t>
        </is>
      </c>
      <c r="D17" s="26" t="inlineStr">
        <is>
          <t>Transaction on basic/limited KYC wallet exceeding product limit</t>
        </is>
      </c>
      <c r="E17" s="26" t="inlineStr">
        <is>
          <t>Basic wallet limit 1,000 per transaction</t>
        </is>
      </c>
      <c r="F17" s="26" t="inlineStr">
        <is>
          <t>High</t>
        </is>
      </c>
      <c r="G17" s="26" t="inlineStr">
        <is>
          <t>P1</t>
        </is>
      </c>
      <c r="H17" s="27">
        <f>COUNTIF('Test Cases'!$C$2:$C$315,A17)</f>
        <v/>
      </c>
    </row>
    <row r="18" ht="22.35" customHeight="1" s="16">
      <c r="A18" s="26" t="inlineStr">
        <is>
          <t>STR-01</t>
        </is>
      </c>
      <c r="B18" s="26" t="inlineStr">
        <is>
          <t>Structuring &amp; Smurfing</t>
        </is>
      </c>
      <c r="C18" s="26" t="inlineStr">
        <is>
          <t>Multiple transactions just below threshold</t>
        </is>
      </c>
      <c r="D18" s="26" t="inlineStr">
        <is>
          <t>≥ N transactions between L% and 100% of a reporting/monitoring threshold within D days</t>
        </is>
      </c>
      <c r="E18" s="26" t="inlineStr">
        <is>
          <t>Threshold 10,000; L=90%; N=3; D=7</t>
        </is>
      </c>
      <c r="F18" s="26" t="inlineStr">
        <is>
          <t>High</t>
        </is>
      </c>
      <c r="G18" s="26" t="inlineStr">
        <is>
          <t>P1</t>
        </is>
      </c>
      <c r="H18" s="27">
        <f>COUNTIF('Test Cases'!$C$2:$C$315,A18)</f>
        <v/>
      </c>
    </row>
    <row r="19" ht="15" customHeight="1" s="16">
      <c r="A19" s="26" t="inlineStr">
        <is>
          <t>STR-02</t>
        </is>
      </c>
      <c r="B19" s="26" t="inlineStr">
        <is>
          <t>Structuring &amp; Smurfing</t>
        </is>
      </c>
      <c r="C19" s="26" t="inlineStr">
        <is>
          <t>Split cash-in across multiple agents same day</t>
        </is>
      </c>
      <c r="D19" s="26" t="inlineStr">
        <is>
          <t>Cash-in at ≥ N distinct agents in one day with total ≥ A</t>
        </is>
      </c>
      <c r="E19" s="26" t="inlineStr">
        <is>
          <t>N=3; A=3,000</t>
        </is>
      </c>
      <c r="F19" s="26" t="inlineStr">
        <is>
          <t>High</t>
        </is>
      </c>
      <c r="G19" s="26" t="inlineStr">
        <is>
          <t>P1</t>
        </is>
      </c>
      <c r="H19" s="27">
        <f>COUNTIF('Test Cases'!$C$2:$C$315,A19)</f>
        <v/>
      </c>
    </row>
    <row r="20" ht="22.35" customHeight="1" s="16">
      <c r="A20" s="26" t="inlineStr">
        <is>
          <t>STR-03</t>
        </is>
      </c>
      <c r="B20" s="26" t="inlineStr">
        <is>
          <t>Structuring &amp; Smurfing</t>
        </is>
      </c>
      <c r="C20" s="26" t="inlineStr">
        <is>
          <t>Smurfing — many depositors to one account</t>
        </is>
      </c>
      <c r="D20" s="26" t="inlineStr">
        <is>
          <t>≥ N distinct senders deposit amounts below threshold to one customer within D days</t>
        </is>
      </c>
      <c r="E20" s="26" t="inlineStr">
        <is>
          <t>N=10; amount each &lt; 500; D=3</t>
        </is>
      </c>
      <c r="F20" s="26" t="inlineStr">
        <is>
          <t>High</t>
        </is>
      </c>
      <c r="G20" s="26" t="inlineStr">
        <is>
          <t>P1</t>
        </is>
      </c>
      <c r="H20" s="27">
        <f>COUNTIF('Test Cases'!$C$2:$C$315,A20)</f>
        <v/>
      </c>
    </row>
    <row r="21" ht="22.35" customHeight="1" s="16">
      <c r="A21" s="26" t="inlineStr">
        <is>
          <t>STR-04</t>
        </is>
      </c>
      <c r="B21" s="26" t="inlineStr">
        <is>
          <t>Structuring &amp; Smurfing</t>
        </is>
      </c>
      <c r="C21" s="26" t="inlineStr">
        <is>
          <t>Splitting across own multiple wallets</t>
        </is>
      </c>
      <c r="D21" s="26" t="inlineStr">
        <is>
          <t>Same resolved person (by ID/phone/device) holds ≥ 2 wallets whose combined daily amount ≥ A while each stays below single-wallet limit</t>
        </is>
      </c>
      <c r="E21" s="26" t="inlineStr">
        <is>
          <t>A=5,000; single limit 3,000</t>
        </is>
      </c>
      <c r="F21" s="26" t="inlineStr">
        <is>
          <t>High</t>
        </is>
      </c>
      <c r="G21" s="26" t="inlineStr">
        <is>
          <t>P1</t>
        </is>
      </c>
      <c r="H21" s="27">
        <f>COUNTIF('Test Cases'!$C$2:$C$315,A21)</f>
        <v/>
      </c>
    </row>
    <row r="22" ht="22.35" customHeight="1" s="16">
      <c r="A22" s="26" t="inlineStr">
        <is>
          <t>STR-05</t>
        </is>
      </c>
      <c r="B22" s="26" t="inlineStr">
        <is>
          <t>Structuring &amp; Smurfing</t>
        </is>
      </c>
      <c r="C22" s="26" t="inlineStr">
        <is>
          <t>Repeated amount just below wallet limit</t>
        </is>
      </c>
      <c r="D22" s="26" t="inlineStr">
        <is>
          <t>≥ N transactions within 98–100% of the customer's own transaction limit within D days</t>
        </is>
      </c>
      <c r="E22" s="26" t="inlineStr">
        <is>
          <t>N=3; D=7</t>
        </is>
      </c>
      <c r="F22" s="26" t="inlineStr">
        <is>
          <t>Medium</t>
        </is>
      </c>
      <c r="G22" s="26" t="inlineStr">
        <is>
          <t>P1</t>
        </is>
      </c>
      <c r="H22" s="27">
        <f>COUNTIF('Test Cases'!$C$2:$C$315,A22)</f>
        <v/>
      </c>
    </row>
    <row r="23" ht="15" customHeight="1" s="16">
      <c r="A23" s="26" t="inlineStr">
        <is>
          <t>STR-06</t>
        </is>
      </c>
      <c r="B23" s="26" t="inlineStr">
        <is>
          <t>Structuring &amp; Smurfing</t>
        </is>
      </c>
      <c r="C23" s="26" t="inlineStr">
        <is>
          <t>Structuring across consecutive days</t>
        </is>
      </c>
      <c r="D23" s="26" t="inlineStr">
        <is>
          <t>Daily totals just below daily limit on ≥ N consecutive days</t>
        </is>
      </c>
      <c r="E23" s="26" t="inlineStr">
        <is>
          <t>N=4; band 90–100% of daily limit</t>
        </is>
      </c>
      <c r="F23" s="26" t="inlineStr">
        <is>
          <t>Medium</t>
        </is>
      </c>
      <c r="G23" s="26" t="inlineStr">
        <is>
          <t>P2</t>
        </is>
      </c>
      <c r="H23" s="27">
        <f>COUNTIF('Test Cases'!$C$2:$C$315,A23)</f>
        <v/>
      </c>
    </row>
    <row r="24" ht="15" customHeight="1" s="16">
      <c r="A24" s="26" t="inlineStr">
        <is>
          <t>RMV-01</t>
        </is>
      </c>
      <c r="B24" s="26" t="inlineStr">
        <is>
          <t>Rapid Movement &amp; Pass-through</t>
        </is>
      </c>
      <c r="C24" s="26" t="inlineStr">
        <is>
          <t>Rapid in-and-out (pass-through)</t>
        </is>
      </c>
      <c r="D24" s="26" t="inlineStr">
        <is>
          <t>Outgoing ≥ P% of an incoming amount within T minutes of receipt</t>
        </is>
      </c>
      <c r="E24" s="26" t="inlineStr">
        <is>
          <t>P=90%; T=60 minutes; min amount 500</t>
        </is>
      </c>
      <c r="F24" s="26" t="inlineStr">
        <is>
          <t>High</t>
        </is>
      </c>
      <c r="G24" s="26" t="inlineStr">
        <is>
          <t>P1</t>
        </is>
      </c>
      <c r="H24" s="27">
        <f>COUNTIF('Test Cases'!$C$2:$C$315,A24)</f>
        <v/>
      </c>
    </row>
    <row r="25" ht="15" customHeight="1" s="16">
      <c r="A25" s="26" t="inlineStr">
        <is>
          <t>RMV-02</t>
        </is>
      </c>
      <c r="B25" s="26" t="inlineStr">
        <is>
          <t>Rapid Movement &amp; Pass-through</t>
        </is>
      </c>
      <c r="C25" s="26" t="inlineStr">
        <is>
          <t>Balance kept near zero</t>
        </is>
      </c>
      <c r="D25" s="26" t="inlineStr">
        <is>
          <t>Average end-of-day balance ≤ B while monthly throughput ≥ A</t>
        </is>
      </c>
      <c r="E25" s="26" t="inlineStr">
        <is>
          <t>B=10; A=5,000</t>
        </is>
      </c>
      <c r="F25" s="26" t="inlineStr">
        <is>
          <t>Medium</t>
        </is>
      </c>
      <c r="G25" s="26" t="inlineStr">
        <is>
          <t>P1</t>
        </is>
      </c>
      <c r="H25" s="27">
        <f>COUNTIF('Test Cases'!$C$2:$C$315,A25)</f>
        <v/>
      </c>
    </row>
    <row r="26" ht="15" customHeight="1" s="16">
      <c r="A26" s="26" t="inlineStr">
        <is>
          <t>RMV-03</t>
        </is>
      </c>
      <c r="B26" s="26" t="inlineStr">
        <is>
          <t>Rapid Movement &amp; Pass-through</t>
        </is>
      </c>
      <c r="C26" s="26" t="inlineStr">
        <is>
          <t>Incoming then immediate cash-out</t>
        </is>
      </c>
      <c r="D26" s="26" t="inlineStr">
        <is>
          <t>Cash-out ≥ P% of incoming transfer within T hours</t>
        </is>
      </c>
      <c r="E26" s="26" t="inlineStr">
        <is>
          <t>P=80%; T=2 hours</t>
        </is>
      </c>
      <c r="F26" s="26" t="inlineStr">
        <is>
          <t>High</t>
        </is>
      </c>
      <c r="G26" s="26" t="inlineStr">
        <is>
          <t>P1</t>
        </is>
      </c>
      <c r="H26" s="27">
        <f>COUNTIF('Test Cases'!$C$2:$C$315,A26)</f>
        <v/>
      </c>
    </row>
    <row r="27" ht="22.35" customHeight="1" s="16">
      <c r="A27" s="26" t="inlineStr">
        <is>
          <t>RMV-04</t>
        </is>
      </c>
      <c r="B27" s="26" t="inlineStr">
        <is>
          <t>Rapid Movement &amp; Pass-through</t>
        </is>
      </c>
      <c r="C27" s="26" t="inlineStr">
        <is>
          <t>Layering chain (multi-hop)</t>
        </is>
      </c>
      <c r="D27" s="26" t="inlineStr">
        <is>
          <t>Funds move through ≥ H wallets within T hours with ≥ P% of amount retained per hop</t>
        </is>
      </c>
      <c r="E27" s="26" t="inlineStr">
        <is>
          <t>H=3 hops; T=24h; P=85%</t>
        </is>
      </c>
      <c r="F27" s="26" t="inlineStr">
        <is>
          <t>High</t>
        </is>
      </c>
      <c r="G27" s="26" t="inlineStr">
        <is>
          <t>P2</t>
        </is>
      </c>
      <c r="H27" s="27">
        <f>COUNTIF('Test Cases'!$C$2:$C$315,A27)</f>
        <v/>
      </c>
    </row>
    <row r="28" ht="22.35" customHeight="1" s="16">
      <c r="A28" s="26" t="inlineStr">
        <is>
          <t>RMV-05</t>
        </is>
      </c>
      <c r="B28" s="26" t="inlineStr">
        <is>
          <t>Rapid Movement &amp; Pass-through</t>
        </is>
      </c>
      <c r="C28" s="26" t="inlineStr">
        <is>
          <t>Loan/credit disbursement moved out immediately</t>
        </is>
      </c>
      <c r="D28" s="26" t="inlineStr">
        <is>
          <t>Outgoing ≥ P% of a credit/loan disbursement within T hours</t>
        </is>
      </c>
      <c r="E28" s="26" t="inlineStr">
        <is>
          <t>P=90%; T=24h</t>
        </is>
      </c>
      <c r="F28" s="26" t="inlineStr">
        <is>
          <t>Medium</t>
        </is>
      </c>
      <c r="G28" s="26" t="inlineStr">
        <is>
          <t>P3</t>
        </is>
      </c>
      <c r="H28" s="27">
        <f>COUNTIF('Test Cases'!$C$2:$C$315,A28)</f>
        <v/>
      </c>
    </row>
    <row r="29" ht="15" customHeight="1" s="16">
      <c r="A29" s="26" t="inlineStr">
        <is>
          <t>FAN-01</t>
        </is>
      </c>
      <c r="B29" s="26" t="inlineStr">
        <is>
          <t>Fan-in / Fan-out</t>
        </is>
      </c>
      <c r="C29" s="26" t="inlineStr">
        <is>
          <t>Many senders to one receiver (fan-in)</t>
        </is>
      </c>
      <c r="D29" s="26" t="inlineStr">
        <is>
          <t>Distinct senders to one customer within D days ≥ N</t>
        </is>
      </c>
      <c r="E29" s="26" t="inlineStr">
        <is>
          <t>N=20; D=7</t>
        </is>
      </c>
      <c r="F29" s="26" t="inlineStr">
        <is>
          <t>High</t>
        </is>
      </c>
      <c r="G29" s="26" t="inlineStr">
        <is>
          <t>P1</t>
        </is>
      </c>
      <c r="H29" s="27">
        <f>COUNTIF('Test Cases'!$C$2:$C$315,A29)</f>
        <v/>
      </c>
    </row>
    <row r="30" ht="15" customHeight="1" s="16">
      <c r="A30" s="26" t="inlineStr">
        <is>
          <t>FAN-02</t>
        </is>
      </c>
      <c r="B30" s="26" t="inlineStr">
        <is>
          <t>Fan-in / Fan-out</t>
        </is>
      </c>
      <c r="C30" s="26" t="inlineStr">
        <is>
          <t>One sender to many receivers (fan-out)</t>
        </is>
      </c>
      <c r="D30" s="26" t="inlineStr">
        <is>
          <t>Distinct beneficiaries from one customer within D days ≥ N</t>
        </is>
      </c>
      <c r="E30" s="26" t="inlineStr">
        <is>
          <t>N=20; D=7</t>
        </is>
      </c>
      <c r="F30" s="26" t="inlineStr">
        <is>
          <t>High</t>
        </is>
      </c>
      <c r="G30" s="26" t="inlineStr">
        <is>
          <t>P1</t>
        </is>
      </c>
      <c r="H30" s="27">
        <f>COUNTIF('Test Cases'!$C$2:$C$315,A30)</f>
        <v/>
      </c>
    </row>
    <row r="31" ht="15" customHeight="1" s="16">
      <c r="A31" s="26" t="inlineStr">
        <is>
          <t>FAN-03</t>
        </is>
      </c>
      <c r="B31" s="26" t="inlineStr">
        <is>
          <t>Fan-in / Fan-out</t>
        </is>
      </c>
      <c r="C31" s="26" t="inlineStr">
        <is>
          <t>Many new counterparties</t>
        </is>
      </c>
      <c r="D31" s="26" t="inlineStr">
        <is>
          <t>Share of transactions to first-time counterparties ≥ P% with count ≥ N in D days</t>
        </is>
      </c>
      <c r="E31" s="26" t="inlineStr">
        <is>
          <t>P=80%; N=10; D=7</t>
        </is>
      </c>
      <c r="F31" s="26" t="inlineStr">
        <is>
          <t>Medium</t>
        </is>
      </c>
      <c r="G31" s="26" t="inlineStr">
        <is>
          <t>P2</t>
        </is>
      </c>
      <c r="H31" s="27">
        <f>COUNTIF('Test Cases'!$C$2:$C$315,A31)</f>
        <v/>
      </c>
    </row>
    <row r="32" ht="15" customHeight="1" s="16">
      <c r="A32" s="26" t="inlineStr">
        <is>
          <t>FAN-04</t>
        </is>
      </c>
      <c r="B32" s="26" t="inlineStr">
        <is>
          <t>Fan-in / Fan-out</t>
        </is>
      </c>
      <c r="C32" s="26" t="inlineStr">
        <is>
          <t>Fan-in followed by fan-out</t>
        </is>
      </c>
      <c r="D32" s="26" t="inlineStr">
        <is>
          <t>Fan-in of ≥ N1 senders followed by fan-out to ≥ N2 receivers within T hours</t>
        </is>
      </c>
      <c r="E32" s="26" t="inlineStr">
        <is>
          <t>N1=10; N2=10; T=48h</t>
        </is>
      </c>
      <c r="F32" s="26" t="inlineStr">
        <is>
          <t>High</t>
        </is>
      </c>
      <c r="G32" s="26" t="inlineStr">
        <is>
          <t>P1</t>
        </is>
      </c>
      <c r="H32" s="27">
        <f>COUNTIF('Test Cases'!$C$2:$C$315,A32)</f>
        <v/>
      </c>
    </row>
    <row r="33" ht="15" customHeight="1" s="16">
      <c r="A33" s="26" t="inlineStr">
        <is>
          <t>FAN-05</t>
        </is>
      </c>
      <c r="B33" s="26" t="inlineStr">
        <is>
          <t>Fan-in / Fan-out</t>
        </is>
      </c>
      <c r="C33" s="26" t="inlineStr">
        <is>
          <t>Many senders sharing attributes</t>
        </is>
      </c>
      <c r="D33" s="26" t="inlineStr">
        <is>
          <t>≥ N senders to one receiver share device, IP or registration agent</t>
        </is>
      </c>
      <c r="E33" s="26" t="inlineStr">
        <is>
          <t>N=5</t>
        </is>
      </c>
      <c r="F33" s="26" t="inlineStr">
        <is>
          <t>High</t>
        </is>
      </c>
      <c r="G33" s="26" t="inlineStr">
        <is>
          <t>P2</t>
        </is>
      </c>
      <c r="H33" s="27">
        <f>COUNTIF('Test Cases'!$C$2:$C$315,A33)</f>
        <v/>
      </c>
    </row>
    <row r="34" ht="22.35" customHeight="1" s="16">
      <c r="A34" s="26" t="inlineStr">
        <is>
          <t>GEO-01</t>
        </is>
      </c>
      <c r="B34" s="26" t="inlineStr">
        <is>
          <t>Geographic &amp; Impossible Travel</t>
        </is>
      </c>
      <c r="C34" s="26" t="inlineStr">
        <is>
          <t>Impossible travel — transactions from distant countries in short time</t>
        </is>
      </c>
      <c r="D34" s="26" t="inlineStr">
        <is>
          <t>Two transactions by the same customer whose locations imply travel speed &gt; V km/h</t>
        </is>
      </c>
      <c r="E34" s="26" t="inlineStr">
        <is>
          <t>V=900 km/h; location from ATM/agent/IP geolocation</t>
        </is>
      </c>
      <c r="F34" s="26" t="inlineStr">
        <is>
          <t>High</t>
        </is>
      </c>
      <c r="G34" s="26" t="inlineStr">
        <is>
          <t>P1</t>
        </is>
      </c>
      <c r="H34" s="27">
        <f>COUNTIF('Test Cases'!$C$2:$C$315,A34)</f>
        <v/>
      </c>
    </row>
    <row r="35" ht="22.35" customHeight="1" s="16">
      <c r="A35" s="26" t="inlineStr">
        <is>
          <t>GEO-02</t>
        </is>
      </c>
      <c r="B35" s="26" t="inlineStr">
        <is>
          <t>Geographic &amp; Impossible Travel</t>
        </is>
      </c>
      <c r="C35" s="26" t="inlineStr">
        <is>
          <t>Transactions in multiple countries within short period</t>
        </is>
      </c>
      <c r="D35" s="26" t="inlineStr">
        <is>
          <t>Distinct countries of physical transactions within T hours ≥ N</t>
        </is>
      </c>
      <c r="E35" s="26" t="inlineStr">
        <is>
          <t>N=3; T=24h</t>
        </is>
      </c>
      <c r="F35" s="26" t="inlineStr">
        <is>
          <t>High</t>
        </is>
      </c>
      <c r="G35" s="26" t="inlineStr">
        <is>
          <t>P1</t>
        </is>
      </c>
      <c r="H35" s="27">
        <f>COUNTIF('Test Cases'!$C$2:$C$315,A35)</f>
        <v/>
      </c>
    </row>
    <row r="36" ht="22.35" customHeight="1" s="16">
      <c r="A36" s="26" t="inlineStr">
        <is>
          <t>GEO-03</t>
        </is>
      </c>
      <c r="B36" s="26" t="inlineStr">
        <is>
          <t>Geographic &amp; Impossible Travel</t>
        </is>
      </c>
      <c r="C36" s="26" t="inlineStr">
        <is>
          <t>Transaction with high-risk jurisdiction</t>
        </is>
      </c>
      <c r="D36" s="26" t="inlineStr">
        <is>
          <t>Counterparty, beneficiary bank, ATM or IP country is on configured high-risk list</t>
        </is>
      </c>
      <c r="E36" s="26" t="inlineStr">
        <is>
          <t>List = FATF call-for-action + increased monitoring + internal list (versioned)</t>
        </is>
      </c>
      <c r="F36" s="26" t="inlineStr">
        <is>
          <t>High</t>
        </is>
      </c>
      <c r="G36" s="26" t="inlineStr">
        <is>
          <t>P1</t>
        </is>
      </c>
      <c r="H36" s="27">
        <f>COUNTIF('Test Cases'!$C$2:$C$315,A36)</f>
        <v/>
      </c>
    </row>
    <row r="37" ht="15" customHeight="1" s="16">
      <c r="A37" s="26" t="inlineStr">
        <is>
          <t>GEO-04</t>
        </is>
      </c>
      <c r="B37" s="26" t="inlineStr">
        <is>
          <t>Geographic &amp; Impossible Travel</t>
        </is>
      </c>
      <c r="C37" s="26" t="inlineStr">
        <is>
          <t>Transaction with sanctioned country</t>
        </is>
      </c>
      <c r="D37" s="26" t="inlineStr">
        <is>
          <t>Any transaction involving a comprehensively sanctioned country per policy</t>
        </is>
      </c>
      <c r="E37" s="26" t="inlineStr">
        <is>
          <t>Country list configurable</t>
        </is>
      </c>
      <c r="F37" s="26" t="inlineStr">
        <is>
          <t>Critical</t>
        </is>
      </c>
      <c r="G37" s="26" t="inlineStr">
        <is>
          <t>P1</t>
        </is>
      </c>
      <c r="H37" s="27">
        <f>COUNTIF('Test Cases'!$C$2:$C$315,A37)</f>
        <v/>
      </c>
    </row>
    <row r="38" ht="22.35" customHeight="1" s="16">
      <c r="A38" s="26" t="inlineStr">
        <is>
          <t>GEO-05</t>
        </is>
      </c>
      <c r="B38" s="26" t="inlineStr">
        <is>
          <t>Geographic &amp; Impossible Travel</t>
        </is>
      </c>
      <c r="C38" s="26" t="inlineStr">
        <is>
          <t>Location mismatch with residence</t>
        </is>
      </c>
      <c r="D38" s="26" t="inlineStr">
        <is>
          <t>≥ N transactions in a country different from residence within D days for a customer flagged domestic-only</t>
        </is>
      </c>
      <c r="E38" s="26" t="inlineStr">
        <is>
          <t>N=5; D=7</t>
        </is>
      </c>
      <c r="F38" s="26" t="inlineStr">
        <is>
          <t>Medium</t>
        </is>
      </c>
      <c r="G38" s="26" t="inlineStr">
        <is>
          <t>P2</t>
        </is>
      </c>
      <c r="H38" s="27">
        <f>COUNTIF('Test Cases'!$C$2:$C$315,A38)</f>
        <v/>
      </c>
    </row>
    <row r="39" ht="15" customHeight="1" s="16">
      <c r="A39" s="26" t="inlineStr">
        <is>
          <t>GEO-06</t>
        </is>
      </c>
      <c r="B39" s="26" t="inlineStr">
        <is>
          <t>Geographic &amp; Impossible Travel</t>
        </is>
      </c>
      <c r="C39" s="26" t="inlineStr">
        <is>
          <t>IP country differs from transaction country</t>
        </is>
      </c>
      <c r="D39" s="26" t="inlineStr">
        <is>
          <t>Login/session IP country ≠ physical/declared country for transactions ≥ A</t>
        </is>
      </c>
      <c r="E39" s="26" t="inlineStr">
        <is>
          <t>A=500</t>
        </is>
      </c>
      <c r="F39" s="26" t="inlineStr">
        <is>
          <t>Medium</t>
        </is>
      </c>
      <c r="G39" s="26" t="inlineStr">
        <is>
          <t>P2</t>
        </is>
      </c>
      <c r="H39" s="27">
        <f>COUNTIF('Test Cases'!$C$2:$C$315,A39)</f>
        <v/>
      </c>
    </row>
    <row r="40" ht="22.35" customHeight="1" s="16">
      <c r="A40" s="26" t="inlineStr">
        <is>
          <t>GEO-07</t>
        </is>
      </c>
      <c r="B40" s="26" t="inlineStr">
        <is>
          <t>Geographic &amp; Impossible Travel</t>
        </is>
      </c>
      <c r="C40" s="26" t="inlineStr">
        <is>
          <t>Sudden first cross-border activity</t>
        </is>
      </c>
      <c r="D40" s="26" t="inlineStr">
        <is>
          <t>First cross-border transaction after ≥ M months of domestic-only history with amount ≥ A</t>
        </is>
      </c>
      <c r="E40" s="26" t="inlineStr">
        <is>
          <t>M=6; A=1,000</t>
        </is>
      </c>
      <c r="F40" s="26" t="inlineStr">
        <is>
          <t>Medium</t>
        </is>
      </c>
      <c r="G40" s="26" t="inlineStr">
        <is>
          <t>P2</t>
        </is>
      </c>
      <c r="H40" s="27">
        <f>COUNTIF('Test Cases'!$C$2:$C$315,A40)</f>
        <v/>
      </c>
    </row>
    <row r="41" ht="22.35" customHeight="1" s="16">
      <c r="A41" s="26" t="inlineStr">
        <is>
          <t>GEO-08</t>
        </is>
      </c>
      <c r="B41" s="26" t="inlineStr">
        <is>
          <t>Geographic &amp; Impossible Travel</t>
        </is>
      </c>
      <c r="C41" s="26" t="inlineStr">
        <is>
          <t>Cash-in and cash-out far apart in short time</t>
        </is>
      </c>
      <c r="D41" s="26" t="inlineStr">
        <is>
          <t>Cash-in at agent X and cash-out at agent Y with distance ≥ K km within T hours (different persons possible)</t>
        </is>
      </c>
      <c r="E41" s="26" t="inlineStr">
        <is>
          <t>K=100 km; T=6h</t>
        </is>
      </c>
      <c r="F41" s="26" t="inlineStr">
        <is>
          <t>Medium</t>
        </is>
      </c>
      <c r="G41" s="26" t="inlineStr">
        <is>
          <t>P2</t>
        </is>
      </c>
      <c r="H41" s="27">
        <f>COUNTIF('Test Cases'!$C$2:$C$315,A41)</f>
        <v/>
      </c>
    </row>
    <row r="42" ht="15" customHeight="1" s="16">
      <c r="A42" s="26" t="inlineStr">
        <is>
          <t>GEO-09</t>
        </is>
      </c>
      <c r="B42" s="26" t="inlineStr">
        <is>
          <t>Geographic &amp; Impossible Travel</t>
        </is>
      </c>
      <c r="C42" s="26" t="inlineStr">
        <is>
          <t>Border-area cash activity</t>
        </is>
      </c>
      <c r="D42" s="26" t="inlineStr">
        <is>
          <t>High-volume cash transactions at agents within configured border zones</t>
        </is>
      </c>
      <c r="E42" s="26" t="inlineStr">
        <is>
          <t>Border agent list; amount ≥ 2,000 per day</t>
        </is>
      </c>
      <c r="F42" s="26" t="inlineStr">
        <is>
          <t>Medium</t>
        </is>
      </c>
      <c r="G42" s="26" t="inlineStr">
        <is>
          <t>P3</t>
        </is>
      </c>
      <c r="H42" s="27">
        <f>COUNTIF('Test Cases'!$C$2:$C$315,A42)</f>
        <v/>
      </c>
    </row>
    <row r="43" ht="15" customHeight="1" s="16">
      <c r="A43" s="26" t="inlineStr">
        <is>
          <t>DEV-01</t>
        </is>
      </c>
      <c r="B43" s="26" t="inlineStr">
        <is>
          <t>Device, IP &amp; Channel</t>
        </is>
      </c>
      <c r="C43" s="26" t="inlineStr">
        <is>
          <t>Many wallets on one device</t>
        </is>
      </c>
      <c r="D43" s="26" t="inlineStr">
        <is>
          <t>Distinct customers transacting from one device ID within D days ≥ N</t>
        </is>
      </c>
      <c r="E43" s="26" t="inlineStr">
        <is>
          <t>N=5; D=30</t>
        </is>
      </c>
      <c r="F43" s="26" t="inlineStr">
        <is>
          <t>High</t>
        </is>
      </c>
      <c r="G43" s="26" t="inlineStr">
        <is>
          <t>P1</t>
        </is>
      </c>
      <c r="H43" s="27">
        <f>COUNTIF('Test Cases'!$C$2:$C$315,A43)</f>
        <v/>
      </c>
    </row>
    <row r="44" ht="15" customHeight="1" s="16">
      <c r="A44" s="26" t="inlineStr">
        <is>
          <t>DEV-02</t>
        </is>
      </c>
      <c r="B44" s="26" t="inlineStr">
        <is>
          <t>Device, IP &amp; Channel</t>
        </is>
      </c>
      <c r="C44" s="26" t="inlineStr">
        <is>
          <t>New device followed by large transfer</t>
        </is>
      </c>
      <c r="D44" s="26" t="inlineStr">
        <is>
          <t>Transfer ≥ A within T hours of first login on a new device</t>
        </is>
      </c>
      <c r="E44" s="26" t="inlineStr">
        <is>
          <t>A=1,000; T=2h</t>
        </is>
      </c>
      <c r="F44" s="26" t="inlineStr">
        <is>
          <t>High</t>
        </is>
      </c>
      <c r="G44" s="26" t="inlineStr">
        <is>
          <t>P1</t>
        </is>
      </c>
      <c r="H44" s="27">
        <f>COUNTIF('Test Cases'!$C$2:$C$315,A44)</f>
        <v/>
      </c>
    </row>
    <row r="45" ht="15" customHeight="1" s="16">
      <c r="A45" s="26" t="inlineStr">
        <is>
          <t>DEV-03</t>
        </is>
      </c>
      <c r="B45" s="26" t="inlineStr">
        <is>
          <t>Device, IP &amp; Channel</t>
        </is>
      </c>
      <c r="C45" s="26" t="inlineStr">
        <is>
          <t>VPN, proxy or TOR usage</t>
        </is>
      </c>
      <c r="D45" s="26" t="inlineStr">
        <is>
          <t>Transactions from IPs classified as anonymiser with amount ≥ A</t>
        </is>
      </c>
      <c r="E45" s="26" t="inlineStr">
        <is>
          <t>A=200</t>
        </is>
      </c>
      <c r="F45" s="26" t="inlineStr">
        <is>
          <t>Medium</t>
        </is>
      </c>
      <c r="G45" s="26" t="inlineStr">
        <is>
          <t>P2</t>
        </is>
      </c>
      <c r="H45" s="27">
        <f>COUNTIF('Test Cases'!$C$2:$C$315,A45)</f>
        <v/>
      </c>
    </row>
    <row r="46" ht="15" customHeight="1" s="16">
      <c r="A46" s="26" t="inlineStr">
        <is>
          <t>DEV-04</t>
        </is>
      </c>
      <c r="B46" s="26" t="inlineStr">
        <is>
          <t>Device, IP &amp; Channel</t>
        </is>
      </c>
      <c r="C46" s="26" t="inlineStr">
        <is>
          <t>Rooted/emulated device</t>
        </is>
      </c>
      <c r="D46" s="26" t="inlineStr">
        <is>
          <t>Transaction from device flagged rooted, jailbroken or emulator</t>
        </is>
      </c>
      <c r="E46" s="26" t="inlineStr">
        <is>
          <t>Any amount</t>
        </is>
      </c>
      <c r="F46" s="26" t="inlineStr">
        <is>
          <t>Medium</t>
        </is>
      </c>
      <c r="G46" s="26" t="inlineStr">
        <is>
          <t>P3</t>
        </is>
      </c>
      <c r="H46" s="27">
        <f>COUNTIF('Test Cases'!$C$2:$C$315,A46)</f>
        <v/>
      </c>
    </row>
    <row r="47" ht="15" customHeight="1" s="16">
      <c r="A47" s="26" t="inlineStr">
        <is>
          <t>DEV-05</t>
        </is>
      </c>
      <c r="B47" s="26" t="inlineStr">
        <is>
          <t>Device, IP &amp; Channel</t>
        </is>
      </c>
      <c r="C47" s="26" t="inlineStr">
        <is>
          <t>SIM swap followed by transactions</t>
        </is>
      </c>
      <c r="D47" s="26" t="inlineStr">
        <is>
          <t>Outgoing transactions ≥ A within T hours after SIM change event</t>
        </is>
      </c>
      <c r="E47" s="26" t="inlineStr">
        <is>
          <t>A=300; T=48h</t>
        </is>
      </c>
      <c r="F47" s="26" t="inlineStr">
        <is>
          <t>High</t>
        </is>
      </c>
      <c r="G47" s="26" t="inlineStr">
        <is>
          <t>P1</t>
        </is>
      </c>
      <c r="H47" s="27">
        <f>COUNTIF('Test Cases'!$C$2:$C$315,A47)</f>
        <v/>
      </c>
    </row>
    <row r="48" ht="15" customHeight="1" s="16">
      <c r="A48" s="26" t="inlineStr">
        <is>
          <t>DEV-06</t>
        </is>
      </c>
      <c r="B48" s="26" t="inlineStr">
        <is>
          <t>Device, IP &amp; Channel</t>
        </is>
      </c>
      <c r="C48" s="26" t="inlineStr">
        <is>
          <t>Multiple devices for one customer</t>
        </is>
      </c>
      <c r="D48" s="26" t="inlineStr">
        <is>
          <t>Distinct devices used by one customer within D days ≥ N</t>
        </is>
      </c>
      <c r="E48" s="26" t="inlineStr">
        <is>
          <t>N=4; D=7</t>
        </is>
      </c>
      <c r="F48" s="26" t="inlineStr">
        <is>
          <t>Medium</t>
        </is>
      </c>
      <c r="G48" s="26" t="inlineStr">
        <is>
          <t>P2</t>
        </is>
      </c>
      <c r="H48" s="27">
        <f>COUNTIF('Test Cases'!$C$2:$C$315,A48)</f>
        <v/>
      </c>
    </row>
    <row r="49" ht="15" customHeight="1" s="16">
      <c r="A49" s="26" t="inlineStr">
        <is>
          <t>DEV-07</t>
        </is>
      </c>
      <c r="B49" s="26" t="inlineStr">
        <is>
          <t>Device, IP &amp; Channel</t>
        </is>
      </c>
      <c r="C49" s="26" t="inlineStr">
        <is>
          <t>Channel switch to avoid limits</t>
        </is>
      </c>
      <c r="D49" s="26" t="inlineStr">
        <is>
          <t>Customer hits limit on one channel then continues on another within T minutes</t>
        </is>
      </c>
      <c r="E49" s="26" t="inlineStr">
        <is>
          <t>T=30</t>
        </is>
      </c>
      <c r="F49" s="26" t="inlineStr">
        <is>
          <t>Medium</t>
        </is>
      </c>
      <c r="G49" s="26" t="inlineStr">
        <is>
          <t>P2</t>
        </is>
      </c>
      <c r="H49" s="27">
        <f>COUNTIF('Test Cases'!$C$2:$C$315,A49)</f>
        <v/>
      </c>
    </row>
    <row r="50" ht="22.35" customHeight="1" s="16">
      <c r="A50" s="26" t="inlineStr">
        <is>
          <t>BEH-01</t>
        </is>
      </c>
      <c r="B50" s="26" t="inlineStr">
        <is>
          <t>Behavioural Change &amp; Profile Mismatch</t>
        </is>
      </c>
      <c r="C50" s="26" t="inlineStr">
        <is>
          <t>Dormant account reactivation with spike</t>
        </is>
      </c>
      <c r="D50" s="26" t="inlineStr">
        <is>
          <t>No customer-initiated activity for ≥ D days, then activity ≥ A within T days</t>
        </is>
      </c>
      <c r="E50" s="26" t="inlineStr">
        <is>
          <t>D=180; A=2,000; T=7</t>
        </is>
      </c>
      <c r="F50" s="26" t="inlineStr">
        <is>
          <t>High</t>
        </is>
      </c>
      <c r="G50" s="26" t="inlineStr">
        <is>
          <t>P1</t>
        </is>
      </c>
      <c r="H50" s="27">
        <f>COUNTIF('Test Cases'!$C$2:$C$315,A50)</f>
        <v/>
      </c>
    </row>
    <row r="51" ht="22.35" customHeight="1" s="16">
      <c r="A51" s="26" t="inlineStr">
        <is>
          <t>BEH-02</t>
        </is>
      </c>
      <c r="B51" s="26" t="inlineStr">
        <is>
          <t>Behavioural Change &amp; Profile Mismatch</t>
        </is>
      </c>
      <c r="C51" s="26" t="inlineStr">
        <is>
          <t>Sudden change in transaction type mix</t>
        </is>
      </c>
      <c r="D51" s="26" t="inlineStr">
        <is>
          <t>Share of a transaction type changes by ≥ P percentage points versus 90-day baseline</t>
        </is>
      </c>
      <c r="E51" s="26" t="inlineStr">
        <is>
          <t>P=60</t>
        </is>
      </c>
      <c r="F51" s="26" t="inlineStr">
        <is>
          <t>Medium</t>
        </is>
      </c>
      <c r="G51" s="26" t="inlineStr">
        <is>
          <t>P2</t>
        </is>
      </c>
      <c r="H51" s="27">
        <f>COUNTIF('Test Cases'!$C$2:$C$315,A51)</f>
        <v/>
      </c>
    </row>
    <row r="52" ht="22.35" customHeight="1" s="16">
      <c r="A52" s="26" t="inlineStr">
        <is>
          <t>BEH-03</t>
        </is>
      </c>
      <c r="B52" s="26" t="inlineStr">
        <is>
          <t>Behavioural Change &amp; Profile Mismatch</t>
        </is>
      </c>
      <c r="C52" s="26" t="inlineStr">
        <is>
          <t>Unusual time-of-day activity</t>
        </is>
      </c>
      <c r="D52" s="26" t="inlineStr">
        <is>
          <t>≥ N transactions between 00:00 and 05:00 local with amount ≥ A when baseline has none</t>
        </is>
      </c>
      <c r="E52" s="26" t="inlineStr">
        <is>
          <t>N=5; A=1,000</t>
        </is>
      </c>
      <c r="F52" s="26" t="inlineStr">
        <is>
          <t>Low</t>
        </is>
      </c>
      <c r="G52" s="26" t="inlineStr">
        <is>
          <t>P2</t>
        </is>
      </c>
      <c r="H52" s="27">
        <f>COUNTIF('Test Cases'!$C$2:$C$315,A52)</f>
        <v/>
      </c>
    </row>
    <row r="53" ht="22.35" customHeight="1" s="16">
      <c r="A53" s="26" t="inlineStr">
        <is>
          <t>BEH-04</t>
        </is>
      </c>
      <c r="B53" s="26" t="inlineStr">
        <is>
          <t>Behavioural Change &amp; Profile Mismatch</t>
        </is>
      </c>
      <c r="C53" s="26" t="inlineStr">
        <is>
          <t>Activity inconsistent with occupation</t>
        </is>
      </c>
      <c r="D53" s="26" t="inlineStr">
        <is>
          <t>Customer occupation in configured low-income list with monthly volume ≥ A</t>
        </is>
      </c>
      <c r="E53" s="26" t="inlineStr">
        <is>
          <t>Occupations: student, unemployed, housewife; A=3,000</t>
        </is>
      </c>
      <c r="F53" s="26" t="inlineStr">
        <is>
          <t>Medium</t>
        </is>
      </c>
      <c r="G53" s="26" t="inlineStr">
        <is>
          <t>P1</t>
        </is>
      </c>
      <c r="H53" s="27">
        <f>COUNTIF('Test Cases'!$C$2:$C$315,A53)</f>
        <v/>
      </c>
    </row>
    <row r="54" ht="22.35" customHeight="1" s="16">
      <c r="A54" s="26" t="inlineStr">
        <is>
          <t>BEH-05</t>
        </is>
      </c>
      <c r="B54" s="26" t="inlineStr">
        <is>
          <t>Behavioural Change &amp; Profile Mismatch</t>
        </is>
      </c>
      <c r="C54" s="26" t="inlineStr">
        <is>
          <t>Minor or elderly customer high activity</t>
        </is>
      </c>
      <c r="D54" s="26" t="inlineStr">
        <is>
          <t>Customer age &lt; 18 or ≥ 75 with monthly volume ≥ A</t>
        </is>
      </c>
      <c r="E54" s="26" t="inlineStr">
        <is>
          <t>A=2,000</t>
        </is>
      </c>
      <c r="F54" s="26" t="inlineStr">
        <is>
          <t>Medium</t>
        </is>
      </c>
      <c r="G54" s="26" t="inlineStr">
        <is>
          <t>P2</t>
        </is>
      </c>
      <c r="H54" s="27">
        <f>COUNTIF('Test Cases'!$C$2:$C$315,A54)</f>
        <v/>
      </c>
    </row>
    <row r="55" ht="22.35" customHeight="1" s="16">
      <c r="A55" s="26" t="inlineStr">
        <is>
          <t>BEH-06</t>
        </is>
      </c>
      <c r="B55" s="26" t="inlineStr">
        <is>
          <t>Behavioural Change &amp; Profile Mismatch</t>
        </is>
      </c>
      <c r="C55" s="26" t="inlineStr">
        <is>
          <t>Personal wallet used for business</t>
        </is>
      </c>
      <c r="D55" s="26" t="inlineStr">
        <is>
          <t>Individual wallet with ≥ N incoming payments from distinct payers per month and amount ≥ A</t>
        </is>
      </c>
      <c r="E55" s="26" t="inlineStr">
        <is>
          <t>N=50; A=5,000</t>
        </is>
      </c>
      <c r="F55" s="26" t="inlineStr">
        <is>
          <t>Medium</t>
        </is>
      </c>
      <c r="G55" s="26" t="inlineStr">
        <is>
          <t>P2</t>
        </is>
      </c>
      <c r="H55" s="27">
        <f>COUNTIF('Test Cases'!$C$2:$C$315,A55)</f>
        <v/>
      </c>
    </row>
    <row r="56" ht="22.35" customHeight="1" s="16">
      <c r="A56" s="26" t="inlineStr">
        <is>
          <t>BEH-07</t>
        </is>
      </c>
      <c r="B56" s="26" t="inlineStr">
        <is>
          <t>Behavioural Change &amp; Profile Mismatch</t>
        </is>
      </c>
      <c r="C56" s="26" t="inlineStr">
        <is>
          <t>Salary in, sent abroad immediately</t>
        </is>
      </c>
      <c r="D56" s="26" t="inlineStr">
        <is>
          <t>≥ P% of salary credit remitted cross-border within T days for ≥ M consecutive months</t>
        </is>
      </c>
      <c r="E56" s="26" t="inlineStr">
        <is>
          <t>P=90%; T=2; M=3</t>
        </is>
      </c>
      <c r="F56" s="26" t="inlineStr">
        <is>
          <t>Low</t>
        </is>
      </c>
      <c r="G56" s="26" t="inlineStr">
        <is>
          <t>P3</t>
        </is>
      </c>
      <c r="H56" s="27">
        <f>COUNTIF('Test Cases'!$C$2:$C$315,A56)</f>
        <v/>
      </c>
    </row>
    <row r="57" ht="22.35" customHeight="1" s="16">
      <c r="A57" s="26" t="inlineStr">
        <is>
          <t>BEH-08</t>
        </is>
      </c>
      <c r="B57" s="26" t="inlineStr">
        <is>
          <t>Behavioural Change &amp; Profile Mismatch</t>
        </is>
      </c>
      <c r="C57" s="26" t="inlineStr">
        <is>
          <t>Change of contact details before large activity</t>
        </is>
      </c>
      <c r="D57" s="26" t="inlineStr">
        <is>
          <t>Phone/email/address changed within T days before transactions ≥ A</t>
        </is>
      </c>
      <c r="E57" s="26" t="inlineStr">
        <is>
          <t>T=3; A=2,000</t>
        </is>
      </c>
      <c r="F57" s="26" t="inlineStr">
        <is>
          <t>Medium</t>
        </is>
      </c>
      <c r="G57" s="26" t="inlineStr">
        <is>
          <t>P2</t>
        </is>
      </c>
      <c r="H57" s="27">
        <f>COUNTIF('Test Cases'!$C$2:$C$315,A57)</f>
        <v/>
      </c>
    </row>
    <row r="58" ht="15" customHeight="1" s="16">
      <c r="A58" s="26" t="inlineStr">
        <is>
          <t>CSH-01</t>
        </is>
      </c>
      <c r="B58" s="26" t="inlineStr">
        <is>
          <t>Cash-in / Cash-out</t>
        </is>
      </c>
      <c r="C58" s="26" t="inlineStr">
        <is>
          <t>High cash-in volume</t>
        </is>
      </c>
      <c r="D58" s="26" t="inlineStr">
        <is>
          <t>Cash-in sum per customer per month ≥ A</t>
        </is>
      </c>
      <c r="E58" s="26" t="inlineStr">
        <is>
          <t>A=10,000</t>
        </is>
      </c>
      <c r="F58" s="26" t="inlineStr">
        <is>
          <t>Medium</t>
        </is>
      </c>
      <c r="G58" s="26" t="inlineStr">
        <is>
          <t>P1</t>
        </is>
      </c>
      <c r="H58" s="27">
        <f>COUNTIF('Test Cases'!$C$2:$C$315,A58)</f>
        <v/>
      </c>
    </row>
    <row r="59" ht="15" customHeight="1" s="16">
      <c r="A59" s="26" t="inlineStr">
        <is>
          <t>CSH-02</t>
        </is>
      </c>
      <c r="B59" s="26" t="inlineStr">
        <is>
          <t>Cash-in / Cash-out</t>
        </is>
      </c>
      <c r="C59" s="26" t="inlineStr">
        <is>
          <t>Cash-in followed by remittance abroad</t>
        </is>
      </c>
      <c r="D59" s="26" t="inlineStr">
        <is>
          <t>Cash-in ≥ A followed by cross-border transfer ≥ P% within T hours</t>
        </is>
      </c>
      <c r="E59" s="26" t="inlineStr">
        <is>
          <t>A=1,000; P=80%; T=24h</t>
        </is>
      </c>
      <c r="F59" s="26" t="inlineStr">
        <is>
          <t>High</t>
        </is>
      </c>
      <c r="G59" s="26" t="inlineStr">
        <is>
          <t>P1</t>
        </is>
      </c>
      <c r="H59" s="27">
        <f>COUNTIF('Test Cases'!$C$2:$C$315,A59)</f>
        <v/>
      </c>
    </row>
    <row r="60" ht="15" customHeight="1" s="16">
      <c r="A60" s="26" t="inlineStr">
        <is>
          <t>CSH-03</t>
        </is>
      </c>
      <c r="B60" s="26" t="inlineStr">
        <is>
          <t>Cash-in / Cash-out</t>
        </is>
      </c>
      <c r="C60" s="26" t="inlineStr">
        <is>
          <t>High cash-out ratio</t>
        </is>
      </c>
      <c r="D60" s="26" t="inlineStr">
        <is>
          <t>Cash-out ≥ P% of incoming electronic funds over D days with incoming ≥ A</t>
        </is>
      </c>
      <c r="E60" s="26" t="inlineStr">
        <is>
          <t>P=90%; D=30; A=3,000</t>
        </is>
      </c>
      <c r="F60" s="26" t="inlineStr">
        <is>
          <t>Medium</t>
        </is>
      </c>
      <c r="G60" s="26" t="inlineStr">
        <is>
          <t>P1</t>
        </is>
      </c>
      <c r="H60" s="27">
        <f>COUNTIF('Test Cases'!$C$2:$C$315,A60)</f>
        <v/>
      </c>
    </row>
    <row r="61" ht="15" customHeight="1" s="16">
      <c r="A61" s="26" t="inlineStr">
        <is>
          <t>CSH-04</t>
        </is>
      </c>
      <c r="B61" s="26" t="inlineStr">
        <is>
          <t>Cash-in / Cash-out</t>
        </is>
      </c>
      <c r="C61" s="26" t="inlineStr">
        <is>
          <t>Low-denomination cash-in pattern</t>
        </is>
      </c>
      <c r="D61" s="26" t="inlineStr">
        <is>
          <t>≥ N cash-ins of small identical amounts per day</t>
        </is>
      </c>
      <c r="E61" s="26" t="inlineStr">
        <is>
          <t>N=10; amount ≤ 50; identical ±1</t>
        </is>
      </c>
      <c r="F61" s="26" t="inlineStr">
        <is>
          <t>Low</t>
        </is>
      </c>
      <c r="G61" s="26" t="inlineStr">
        <is>
          <t>P3</t>
        </is>
      </c>
      <c r="H61" s="27">
        <f>COUNTIF('Test Cases'!$C$2:$C$315,A61)</f>
        <v/>
      </c>
    </row>
    <row r="62" ht="15" customHeight="1" s="16">
      <c r="A62" s="26" t="inlineStr">
        <is>
          <t>CSH-05</t>
        </is>
      </c>
      <c r="B62" s="26" t="inlineStr">
        <is>
          <t>Cash-in / Cash-out</t>
        </is>
      </c>
      <c r="C62" s="26" t="inlineStr">
        <is>
          <t>ATM withdrawals at many locations</t>
        </is>
      </c>
      <c r="D62" s="26" t="inlineStr">
        <is>
          <t>Distinct ATM locations used in one day ≥ N</t>
        </is>
      </c>
      <c r="E62" s="26" t="inlineStr">
        <is>
          <t>N=5</t>
        </is>
      </c>
      <c r="F62" s="26" t="inlineStr">
        <is>
          <t>Medium</t>
        </is>
      </c>
      <c r="G62" s="26" t="inlineStr">
        <is>
          <t>P2</t>
        </is>
      </c>
      <c r="H62" s="27">
        <f>COUNTIF('Test Cases'!$C$2:$C$315,A62)</f>
        <v/>
      </c>
    </row>
    <row r="63" ht="22.35" customHeight="1" s="16">
      <c r="A63" s="26" t="inlineStr">
        <is>
          <t>AGT-01</t>
        </is>
      </c>
      <c r="B63" s="26" t="inlineStr">
        <is>
          <t>Agent Network</t>
        </is>
      </c>
      <c r="C63" s="26" t="inlineStr">
        <is>
          <t>Agent self-dealing</t>
        </is>
      </c>
      <c r="D63" s="26" t="inlineStr">
        <is>
          <t>Agent processes transactions for wallets linked to the agent (same ID, phone, device or family) ≥ N per month</t>
        </is>
      </c>
      <c r="E63" s="26" t="inlineStr">
        <is>
          <t>N=5</t>
        </is>
      </c>
      <c r="F63" s="26" t="inlineStr">
        <is>
          <t>High</t>
        </is>
      </c>
      <c r="G63" s="26" t="inlineStr">
        <is>
          <t>P1</t>
        </is>
      </c>
      <c r="H63" s="27">
        <f>COUNTIF('Test Cases'!$C$2:$C$315,A63)</f>
        <v/>
      </c>
    </row>
    <row r="64" ht="15" customHeight="1" s="16">
      <c r="A64" s="26" t="inlineStr">
        <is>
          <t>AGT-02</t>
        </is>
      </c>
      <c r="B64" s="26" t="inlineStr">
        <is>
          <t>Agent Network</t>
        </is>
      </c>
      <c r="C64" s="26" t="inlineStr">
        <is>
          <t>Agent cash-out ratio anomaly</t>
        </is>
      </c>
      <c r="D64" s="26" t="inlineStr">
        <is>
          <t>Agent cash-out / cash-in ratio &gt; R compared with regional peers</t>
        </is>
      </c>
      <c r="E64" s="26" t="inlineStr">
        <is>
          <t>R = peer median × 3</t>
        </is>
      </c>
      <c r="F64" s="26" t="inlineStr">
        <is>
          <t>Medium</t>
        </is>
      </c>
      <c r="G64" s="26" t="inlineStr">
        <is>
          <t>P1</t>
        </is>
      </c>
      <c r="H64" s="27">
        <f>COUNTIF('Test Cases'!$C$2:$C$315,A64)</f>
        <v/>
      </c>
    </row>
    <row r="65" ht="15" customHeight="1" s="16">
      <c r="A65" s="26" t="inlineStr">
        <is>
          <t>AGT-03</t>
        </is>
      </c>
      <c r="B65" s="26" t="inlineStr">
        <is>
          <t>Agent Network</t>
        </is>
      </c>
      <c r="C65" s="26" t="inlineStr">
        <is>
          <t>Many registrations by one agent</t>
        </is>
      </c>
      <c r="D65" s="26" t="inlineStr">
        <is>
          <t>New customers registered by one agent per week ≥ N</t>
        </is>
      </c>
      <c r="E65" s="26" t="inlineStr">
        <is>
          <t>N=50</t>
        </is>
      </c>
      <c r="F65" s="26" t="inlineStr">
        <is>
          <t>Medium</t>
        </is>
      </c>
      <c r="G65" s="26" t="inlineStr">
        <is>
          <t>P2</t>
        </is>
      </c>
      <c r="H65" s="27">
        <f>COUNTIF('Test Cases'!$C$2:$C$315,A65)</f>
        <v/>
      </c>
    </row>
    <row r="66" ht="15" customHeight="1" s="16">
      <c r="A66" s="26" t="inlineStr">
        <is>
          <t>AGT-04</t>
        </is>
      </c>
      <c r="B66" s="26" t="inlineStr">
        <is>
          <t>Agent Network</t>
        </is>
      </c>
      <c r="C66" s="26" t="inlineStr">
        <is>
          <t>Registrations then immediate activity</t>
        </is>
      </c>
      <c r="D66" s="26" t="inlineStr">
        <is>
          <t>≥ P% of customers registered by an agent transact ≥ A within 24h of registration</t>
        </is>
      </c>
      <c r="E66" s="26" t="inlineStr">
        <is>
          <t>P=50%; A=500</t>
        </is>
      </c>
      <c r="F66" s="26" t="inlineStr">
        <is>
          <t>High</t>
        </is>
      </c>
      <c r="G66" s="26" t="inlineStr">
        <is>
          <t>P2</t>
        </is>
      </c>
      <c r="H66" s="27">
        <f>COUNTIF('Test Cases'!$C$2:$C$315,A66)</f>
        <v/>
      </c>
    </row>
    <row r="67" ht="15" customHeight="1" s="16">
      <c r="A67" s="26" t="inlineStr">
        <is>
          <t>AGT-05</t>
        </is>
      </c>
      <c r="B67" s="26" t="inlineStr">
        <is>
          <t>Agent Network</t>
        </is>
      </c>
      <c r="C67" s="26" t="inlineStr">
        <is>
          <t>Agent transactions outside operating hours</t>
        </is>
      </c>
      <c r="D67" s="26" t="inlineStr">
        <is>
          <t>Agent transactions outside configured hours ≥ N per week</t>
        </is>
      </c>
      <c r="E67" s="26" t="inlineStr">
        <is>
          <t>Hours 08:00–22:00; N=10</t>
        </is>
      </c>
      <c r="F67" s="26" t="inlineStr">
        <is>
          <t>Low</t>
        </is>
      </c>
      <c r="G67" s="26" t="inlineStr">
        <is>
          <t>P3</t>
        </is>
      </c>
      <c r="H67" s="27">
        <f>COUNTIF('Test Cases'!$C$2:$C$315,A67)</f>
        <v/>
      </c>
    </row>
    <row r="68" ht="22.35" customHeight="1" s="16">
      <c r="A68" s="26" t="inlineStr">
        <is>
          <t>AGT-06</t>
        </is>
      </c>
      <c r="B68" s="26" t="inlineStr">
        <is>
          <t>Agent Network</t>
        </is>
      </c>
      <c r="C68" s="26" t="inlineStr">
        <is>
          <t>Same customer repeatedly using one distant agent</t>
        </is>
      </c>
      <c r="D68" s="26" t="inlineStr">
        <is>
          <t>Customer uses agent ≥ K km from residence ≥ N times per month</t>
        </is>
      </c>
      <c r="E68" s="26" t="inlineStr">
        <is>
          <t>K=50; N=8</t>
        </is>
      </c>
      <c r="F68" s="26" t="inlineStr">
        <is>
          <t>Low</t>
        </is>
      </c>
      <c r="G68" s="26" t="inlineStr">
        <is>
          <t>P3</t>
        </is>
      </c>
      <c r="H68" s="27">
        <f>COUNTIF('Test Cases'!$C$2:$C$315,A68)</f>
        <v/>
      </c>
    </row>
    <row r="69" ht="22.35" customHeight="1" s="16">
      <c r="A69" s="26" t="inlineStr">
        <is>
          <t>AGT-07</t>
        </is>
      </c>
      <c r="B69" s="26" t="inlineStr">
        <is>
          <t>Agent Network</t>
        </is>
      </c>
      <c r="C69" s="26" t="inlineStr">
        <is>
          <t>Agent split transactions for customers</t>
        </is>
      </c>
      <c r="D69" s="26" t="inlineStr">
        <is>
          <t>Agent performs ≥ N transactions for same customer within T minutes each below limit</t>
        </is>
      </c>
      <c r="E69" s="26" t="inlineStr">
        <is>
          <t>N=4; T=15</t>
        </is>
      </c>
      <c r="F69" s="26" t="inlineStr">
        <is>
          <t>High</t>
        </is>
      </c>
      <c r="G69" s="26" t="inlineStr">
        <is>
          <t>P1</t>
        </is>
      </c>
      <c r="H69" s="27">
        <f>COUNTIF('Test Cases'!$C$2:$C$315,A69)</f>
        <v/>
      </c>
    </row>
    <row r="70" ht="22.35" customHeight="1" s="16">
      <c r="A70" s="26" t="inlineStr">
        <is>
          <t>MER-01</t>
        </is>
      </c>
      <c r="B70" s="26" t="inlineStr">
        <is>
          <t>Merchant</t>
        </is>
      </c>
      <c r="C70" s="26" t="inlineStr">
        <is>
          <t>Merchant volume inconsistent with business type</t>
        </is>
      </c>
      <c r="D70" s="26" t="inlineStr">
        <is>
          <t>Monthly volume &gt; P% of expected for MCC/business size</t>
        </is>
      </c>
      <c r="E70" s="26" t="inlineStr">
        <is>
          <t>P=300%</t>
        </is>
      </c>
      <c r="F70" s="26" t="inlineStr">
        <is>
          <t>Medium</t>
        </is>
      </c>
      <c r="G70" s="26" t="inlineStr">
        <is>
          <t>P1</t>
        </is>
      </c>
      <c r="H70" s="27">
        <f>COUNTIF('Test Cases'!$C$2:$C$315,A70)</f>
        <v/>
      </c>
    </row>
    <row r="71" ht="15" customHeight="1" s="16">
      <c r="A71" s="26" t="inlineStr">
        <is>
          <t>MER-02</t>
        </is>
      </c>
      <c r="B71" s="26" t="inlineStr">
        <is>
          <t>Merchant</t>
        </is>
      </c>
      <c r="C71" s="26" t="inlineStr">
        <is>
          <t>Merchant split payments</t>
        </is>
      </c>
      <c r="D71" s="26" t="inlineStr">
        <is>
          <t>≥ N payments from same payer to same merchant within T minutes</t>
        </is>
      </c>
      <c r="E71" s="26" t="inlineStr">
        <is>
          <t>N=3; T=10</t>
        </is>
      </c>
      <c r="F71" s="26" t="inlineStr">
        <is>
          <t>Medium</t>
        </is>
      </c>
      <c r="G71" s="26" t="inlineStr">
        <is>
          <t>P2</t>
        </is>
      </c>
      <c r="H71" s="27">
        <f>COUNTIF('Test Cases'!$C$2:$C$315,A71)</f>
        <v/>
      </c>
    </row>
    <row r="72" ht="15" customHeight="1" s="16">
      <c r="A72" s="26" t="inlineStr">
        <is>
          <t>MER-03</t>
        </is>
      </c>
      <c r="B72" s="26" t="inlineStr">
        <is>
          <t>Merchant</t>
        </is>
      </c>
      <c r="C72" s="26" t="inlineStr">
        <is>
          <t>Merchant transactions with own wallets</t>
        </is>
      </c>
      <c r="D72" s="26" t="inlineStr">
        <is>
          <t>Merchant receives payments from wallets linked to merchant owner</t>
        </is>
      </c>
      <c r="E72" s="26" t="inlineStr">
        <is>
          <t>Any count ≥ 3 per month</t>
        </is>
      </c>
      <c r="F72" s="26" t="inlineStr">
        <is>
          <t>High</t>
        </is>
      </c>
      <c r="G72" s="26" t="inlineStr">
        <is>
          <t>P1</t>
        </is>
      </c>
      <c r="H72" s="27">
        <f>COUNTIF('Test Cases'!$C$2:$C$315,A72)</f>
        <v/>
      </c>
    </row>
    <row r="73" ht="15" customHeight="1" s="16">
      <c r="A73" s="26" t="inlineStr">
        <is>
          <t>MER-04</t>
        </is>
      </c>
      <c r="B73" s="26" t="inlineStr">
        <is>
          <t>Merchant</t>
        </is>
      </c>
      <c r="C73" s="26" t="inlineStr">
        <is>
          <t>Merchant payments with no goods pattern</t>
        </is>
      </c>
      <c r="D73" s="26" t="inlineStr">
        <is>
          <t>Payments immediately followed by refunds or by merchant cash-out of ≥ P%</t>
        </is>
      </c>
      <c r="E73" s="26" t="inlineStr">
        <is>
          <t>P=90% within 24h</t>
        </is>
      </c>
      <c r="F73" s="26" t="inlineStr">
        <is>
          <t>Medium</t>
        </is>
      </c>
      <c r="G73" s="26" t="inlineStr">
        <is>
          <t>P2</t>
        </is>
      </c>
      <c r="H73" s="27">
        <f>COUNTIF('Test Cases'!$C$2:$C$315,A73)</f>
        <v/>
      </c>
    </row>
    <row r="74" ht="15" customHeight="1" s="16">
      <c r="A74" s="26" t="inlineStr">
        <is>
          <t>MER-05</t>
        </is>
      </c>
      <c r="B74" s="26" t="inlineStr">
        <is>
          <t>Merchant</t>
        </is>
      </c>
      <c r="C74" s="26" t="inlineStr">
        <is>
          <t>Merchant transactions outside location</t>
        </is>
      </c>
      <c r="D74" s="26" t="inlineStr">
        <is>
          <t>Physical POS transactions geolocated outside merchant's registered area</t>
        </is>
      </c>
      <c r="E74" s="26" t="inlineStr">
        <is>
          <t>Distance &gt; 20 km</t>
        </is>
      </c>
      <c r="F74" s="26" t="inlineStr">
        <is>
          <t>Low</t>
        </is>
      </c>
      <c r="G74" s="26" t="inlineStr">
        <is>
          <t>P3</t>
        </is>
      </c>
      <c r="H74" s="27">
        <f>COUNTIF('Test Cases'!$C$2:$C$315,A74)</f>
        <v/>
      </c>
    </row>
    <row r="75" ht="22.35" customHeight="1" s="16">
      <c r="A75" s="26" t="inlineStr">
        <is>
          <t>REV-01</t>
        </is>
      </c>
      <c r="B75" s="26" t="inlineStr">
        <is>
          <t>Reversals, Refunds &amp; Failed Attempts</t>
        </is>
      </c>
      <c r="C75" s="26" t="inlineStr">
        <is>
          <t>High reversal/refund rate</t>
        </is>
      </c>
      <c r="D75" s="26" t="inlineStr">
        <is>
          <t>Reversed or refunded transactions / total ≥ P% with count ≥ N in D days</t>
        </is>
      </c>
      <c r="E75" s="26" t="inlineStr">
        <is>
          <t>P=20%; N=5; D=30</t>
        </is>
      </c>
      <c r="F75" s="26" t="inlineStr">
        <is>
          <t>Medium</t>
        </is>
      </c>
      <c r="G75" s="26" t="inlineStr">
        <is>
          <t>P1</t>
        </is>
      </c>
      <c r="H75" s="27">
        <f>COUNTIF('Test Cases'!$C$2:$C$315,A75)</f>
        <v/>
      </c>
    </row>
    <row r="76" ht="22.35" customHeight="1" s="16">
      <c r="A76" s="26" t="inlineStr">
        <is>
          <t>REV-02</t>
        </is>
      </c>
      <c r="B76" s="26" t="inlineStr">
        <is>
          <t>Reversals, Refunds &amp; Failed Attempts</t>
        </is>
      </c>
      <c r="C76" s="26" t="inlineStr">
        <is>
          <t>Refund to different instrument</t>
        </is>
      </c>
      <c r="D76" s="26" t="inlineStr">
        <is>
          <t>Refund credited to an instrument different from the original payment</t>
        </is>
      </c>
      <c r="E76" s="26" t="inlineStr">
        <is>
          <t>Any</t>
        </is>
      </c>
      <c r="F76" s="26" t="inlineStr">
        <is>
          <t>High</t>
        </is>
      </c>
      <c r="G76" s="26" t="inlineStr">
        <is>
          <t>P2</t>
        </is>
      </c>
      <c r="H76" s="27">
        <f>COUNTIF('Test Cases'!$C$2:$C$315,A76)</f>
        <v/>
      </c>
    </row>
    <row r="77" ht="22.35" customHeight="1" s="16">
      <c r="A77" s="26" t="inlineStr">
        <is>
          <t>REV-03</t>
        </is>
      </c>
      <c r="B77" s="26" t="inlineStr">
        <is>
          <t>Reversals, Refunds &amp; Failed Attempts</t>
        </is>
      </c>
      <c r="C77" s="26" t="inlineStr">
        <is>
          <t>Many failed attempts then success (limit probing)</t>
        </is>
      </c>
      <c r="D77" s="26" t="inlineStr">
        <is>
          <t>≥ N failed attempts with decreasing amounts then a success within T minutes</t>
        </is>
      </c>
      <c r="E77" s="26" t="inlineStr">
        <is>
          <t>N=3; T=30</t>
        </is>
      </c>
      <c r="F77" s="26" t="inlineStr">
        <is>
          <t>Medium</t>
        </is>
      </c>
      <c r="G77" s="26" t="inlineStr">
        <is>
          <t>P1</t>
        </is>
      </c>
      <c r="H77" s="27">
        <f>COUNTIF('Test Cases'!$C$2:$C$315,A77)</f>
        <v/>
      </c>
    </row>
    <row r="78" ht="22.35" customHeight="1" s="16">
      <c r="A78" s="26" t="inlineStr">
        <is>
          <t>REV-04</t>
        </is>
      </c>
      <c r="B78" s="26" t="inlineStr">
        <is>
          <t>Reversals, Refunds &amp; Failed Attempts</t>
        </is>
      </c>
      <c r="C78" s="26" t="inlineStr">
        <is>
          <t>Many failed transactions</t>
        </is>
      </c>
      <c r="D78" s="26" t="inlineStr">
        <is>
          <t>Failed transactions per customer per day ≥ N</t>
        </is>
      </c>
      <c r="E78" s="26" t="inlineStr">
        <is>
          <t>N=10</t>
        </is>
      </c>
      <c r="F78" s="26" t="inlineStr">
        <is>
          <t>Low</t>
        </is>
      </c>
      <c r="G78" s="26" t="inlineStr">
        <is>
          <t>P2</t>
        </is>
      </c>
      <c r="H78" s="27">
        <f>COUNTIF('Test Cases'!$C$2:$C$315,A78)</f>
        <v/>
      </c>
    </row>
    <row r="79" ht="22.35" customHeight="1" s="16">
      <c r="A79" s="26" t="inlineStr">
        <is>
          <t>REV-05</t>
        </is>
      </c>
      <c r="B79" s="26" t="inlineStr">
        <is>
          <t>Reversals, Refunds &amp; Failed Attempts</t>
        </is>
      </c>
      <c r="C79" s="26" t="inlineStr">
        <is>
          <t>Overpayment and refund request</t>
        </is>
      </c>
      <c r="D79" s="26" t="inlineStr">
        <is>
          <t>Payment &gt; invoice amount followed by refund of difference to third party</t>
        </is>
      </c>
      <c r="E79" s="26" t="inlineStr">
        <is>
          <t>Difference ≥ 100</t>
        </is>
      </c>
      <c r="F79" s="26" t="inlineStr">
        <is>
          <t>Medium</t>
        </is>
      </c>
      <c r="G79" s="26" t="inlineStr">
        <is>
          <t>P3</t>
        </is>
      </c>
      <c r="H79" s="27">
        <f>COUNTIF('Test Cases'!$C$2:$C$315,A79)</f>
        <v/>
      </c>
    </row>
    <row r="80" ht="15" customHeight="1" s="16">
      <c r="A80" s="26" t="inlineStr">
        <is>
          <t>CIR-01</t>
        </is>
      </c>
      <c r="B80" s="26" t="inlineStr">
        <is>
          <t>Circular &amp; Related-party</t>
        </is>
      </c>
      <c r="C80" s="26" t="inlineStr">
        <is>
          <t>Round-tripping (A→B→A)</t>
        </is>
      </c>
      <c r="D80" s="26" t="inlineStr">
        <is>
          <t>Funds return to originator within T days through ≤ H hops with ≥ P% of amount</t>
        </is>
      </c>
      <c r="E80" s="26" t="inlineStr">
        <is>
          <t>T=7; H=3; P=80%</t>
        </is>
      </c>
      <c r="F80" s="26" t="inlineStr">
        <is>
          <t>High</t>
        </is>
      </c>
      <c r="G80" s="26" t="inlineStr">
        <is>
          <t>P1</t>
        </is>
      </c>
      <c r="H80" s="27">
        <f>COUNTIF('Test Cases'!$C$2:$C$315,A80)</f>
        <v/>
      </c>
    </row>
    <row r="81" ht="15" customHeight="1" s="16">
      <c r="A81" s="26" t="inlineStr">
        <is>
          <t>CIR-02</t>
        </is>
      </c>
      <c r="B81" s="26" t="inlineStr">
        <is>
          <t>Circular &amp; Related-party</t>
        </is>
      </c>
      <c r="C81" s="26" t="inlineStr">
        <is>
          <t>Reciprocal transfers between two parties</t>
        </is>
      </c>
      <c r="D81" s="26" t="inlineStr">
        <is>
          <t>≥ N back-and-forth transfers between same two wallets within D days</t>
        </is>
      </c>
      <c r="E81" s="26" t="inlineStr">
        <is>
          <t>N=6; D=7</t>
        </is>
      </c>
      <c r="F81" s="26" t="inlineStr">
        <is>
          <t>Medium</t>
        </is>
      </c>
      <c r="G81" s="26" t="inlineStr">
        <is>
          <t>P2</t>
        </is>
      </c>
      <c r="H81" s="27">
        <f>COUNTIF('Test Cases'!$C$2:$C$315,A81)</f>
        <v/>
      </c>
    </row>
    <row r="82" ht="15" customHeight="1" s="16">
      <c r="A82" s="26" t="inlineStr">
        <is>
          <t>CIR-03</t>
        </is>
      </c>
      <c r="B82" s="26" t="inlineStr">
        <is>
          <t>Circular &amp; Related-party</t>
        </is>
      </c>
      <c r="C82" s="26" t="inlineStr">
        <is>
          <t>Transfers between linked customers</t>
        </is>
      </c>
      <c r="D82" s="26" t="inlineStr">
        <is>
          <t>Transfers between customers linked by entity resolution with total ≥ A</t>
        </is>
      </c>
      <c r="E82" s="26" t="inlineStr">
        <is>
          <t>A=3,000 per month</t>
        </is>
      </c>
      <c r="F82" s="26" t="inlineStr">
        <is>
          <t>Medium</t>
        </is>
      </c>
      <c r="G82" s="26" t="inlineStr">
        <is>
          <t>P2</t>
        </is>
      </c>
      <c r="H82" s="27">
        <f>COUNTIF('Test Cases'!$C$2:$C$315,A82)</f>
        <v/>
      </c>
    </row>
    <row r="83" ht="22.35" customHeight="1" s="16">
      <c r="A83" s="26" t="inlineStr">
        <is>
          <t>MUL-01</t>
        </is>
      </c>
      <c r="B83" s="26" t="inlineStr">
        <is>
          <t>Money Mule</t>
        </is>
      </c>
      <c r="C83" s="26" t="inlineStr">
        <is>
          <t>Mule account — many unrelated inflows then cash-out</t>
        </is>
      </c>
      <c r="D83" s="26" t="inlineStr">
        <is>
          <t>≥ N distinct unrelated senders and ≥ P% cashed out within T hours</t>
        </is>
      </c>
      <c r="E83" s="26" t="inlineStr">
        <is>
          <t>N=5; P=80%; T=24h</t>
        </is>
      </c>
      <c r="F83" s="26" t="inlineStr">
        <is>
          <t>High</t>
        </is>
      </c>
      <c r="G83" s="26" t="inlineStr">
        <is>
          <t>P1</t>
        </is>
      </c>
      <c r="H83" s="27">
        <f>COUNTIF('Test Cases'!$C$2:$C$315,A83)</f>
        <v/>
      </c>
    </row>
    <row r="84" ht="15" customHeight="1" s="16">
      <c r="A84" s="26" t="inlineStr">
        <is>
          <t>MUL-02</t>
        </is>
      </c>
      <c r="B84" s="26" t="inlineStr">
        <is>
          <t>Money Mule</t>
        </is>
      </c>
      <c r="C84" s="26" t="inlineStr">
        <is>
          <t>New account receives large inflow</t>
        </is>
      </c>
      <c r="D84" s="26" t="inlineStr">
        <is>
          <t>Account age ≤ D days receives ≥ A</t>
        </is>
      </c>
      <c r="E84" s="26" t="inlineStr">
        <is>
          <t>D=14; A=2,000</t>
        </is>
      </c>
      <c r="F84" s="26" t="inlineStr">
        <is>
          <t>High</t>
        </is>
      </c>
      <c r="G84" s="26" t="inlineStr">
        <is>
          <t>P1</t>
        </is>
      </c>
      <c r="H84" s="27">
        <f>COUNTIF('Test Cases'!$C$2:$C$315,A84)</f>
        <v/>
      </c>
    </row>
    <row r="85" ht="15" customHeight="1" s="16">
      <c r="A85" s="26" t="inlineStr">
        <is>
          <t>MUL-03</t>
        </is>
      </c>
      <c r="B85" s="26" t="inlineStr">
        <is>
          <t>Money Mule</t>
        </is>
      </c>
      <c r="C85" s="26" t="inlineStr">
        <is>
          <t>Inflows from fraud-reported wallets</t>
        </is>
      </c>
      <c r="D85" s="26" t="inlineStr">
        <is>
          <t>Incoming funds from wallets with confirmed fraud/AML flag within D days</t>
        </is>
      </c>
      <c r="E85" s="26" t="inlineStr">
        <is>
          <t>D=30</t>
        </is>
      </c>
      <c r="F85" s="26" t="inlineStr">
        <is>
          <t>High</t>
        </is>
      </c>
      <c r="G85" s="26" t="inlineStr">
        <is>
          <t>P1</t>
        </is>
      </c>
      <c r="H85" s="27">
        <f>COUNTIF('Test Cases'!$C$2:$C$315,A85)</f>
        <v/>
      </c>
    </row>
    <row r="86" ht="15" customHeight="1" s="16">
      <c r="A86" s="26" t="inlineStr">
        <is>
          <t>MUL-04</t>
        </is>
      </c>
      <c r="B86" s="26" t="inlineStr">
        <is>
          <t>Money Mule</t>
        </is>
      </c>
      <c r="C86" s="26" t="inlineStr">
        <is>
          <t>Young customer acting as conduit</t>
        </is>
      </c>
      <c r="D86" s="26" t="inlineStr">
        <is>
          <t>Customer age 18–24 with pass-through pattern ≥ A per month</t>
        </is>
      </c>
      <c r="E86" s="26" t="inlineStr">
        <is>
          <t>A=2,000</t>
        </is>
      </c>
      <c r="F86" s="26" t="inlineStr">
        <is>
          <t>Medium</t>
        </is>
      </c>
      <c r="G86" s="26" t="inlineStr">
        <is>
          <t>P2</t>
        </is>
      </c>
      <c r="H86" s="27">
        <f>COUNTIF('Test Cases'!$C$2:$C$315,A86)</f>
        <v/>
      </c>
    </row>
    <row r="87" ht="22.35" customHeight="1" s="16">
      <c r="A87" s="26" t="inlineStr">
        <is>
          <t>XBR-01</t>
        </is>
      </c>
      <c r="B87" s="26" t="inlineStr">
        <is>
          <t>Cross-border Remittance</t>
        </is>
      </c>
      <c r="C87" s="26" t="inlineStr">
        <is>
          <t>Multiple remittances to many beneficiaries abroad</t>
        </is>
      </c>
      <c r="D87" s="26" t="inlineStr">
        <is>
          <t>Distinct foreign beneficiaries per month ≥ N</t>
        </is>
      </c>
      <c r="E87" s="26" t="inlineStr">
        <is>
          <t>N=5</t>
        </is>
      </c>
      <c r="F87" s="26" t="inlineStr">
        <is>
          <t>Medium</t>
        </is>
      </c>
      <c r="G87" s="26" t="inlineStr">
        <is>
          <t>P1</t>
        </is>
      </c>
      <c r="H87" s="27">
        <f>COUNTIF('Test Cases'!$C$2:$C$315,A87)</f>
        <v/>
      </c>
    </row>
    <row r="88" ht="22.35" customHeight="1" s="16">
      <c r="A88" s="26" t="inlineStr">
        <is>
          <t>XBR-02</t>
        </is>
      </c>
      <c r="B88" s="26" t="inlineStr">
        <is>
          <t>Cross-border Remittance</t>
        </is>
      </c>
      <c r="C88" s="26" t="inlineStr">
        <is>
          <t>Missing originator/beneficiary information (R.16)</t>
        </is>
      </c>
      <c r="D88" s="26" t="inlineStr">
        <is>
          <t>Cross-border transfer missing required originator or beneficiary fields above threshold</t>
        </is>
      </c>
      <c r="E88" s="26" t="inlineStr">
        <is>
          <t>Threshold configurable (e.g. USD/EUR 1,000 equivalent)</t>
        </is>
      </c>
      <c r="F88" s="26" t="inlineStr">
        <is>
          <t>Medium</t>
        </is>
      </c>
      <c r="G88" s="26" t="inlineStr">
        <is>
          <t>P1</t>
        </is>
      </c>
      <c r="H88" s="27">
        <f>COUNTIF('Test Cases'!$C$2:$C$315,A88)</f>
        <v/>
      </c>
    </row>
    <row r="89" ht="15" customHeight="1" s="16">
      <c r="A89" s="26" t="inlineStr">
        <is>
          <t>XBR-03</t>
        </is>
      </c>
      <c r="B89" s="26" t="inlineStr">
        <is>
          <t>Cross-border Remittance</t>
        </is>
      </c>
      <c r="C89" s="26" t="inlineStr">
        <is>
          <t>Remittance corridor anomaly</t>
        </is>
      </c>
      <c r="D89" s="26" t="inlineStr">
        <is>
          <t>Customer remits to a corridor never used by peers of same nationality/segment</t>
        </is>
      </c>
      <c r="E89" s="26" t="inlineStr">
        <is>
          <t>Corridor share &lt; 1% of peer group</t>
        </is>
      </c>
      <c r="F89" s="26" t="inlineStr">
        <is>
          <t>Low</t>
        </is>
      </c>
      <c r="G89" s="26" t="inlineStr">
        <is>
          <t>P3</t>
        </is>
      </c>
      <c r="H89" s="27">
        <f>COUNTIF('Test Cases'!$C$2:$C$315,A89)</f>
        <v/>
      </c>
    </row>
    <row r="90" ht="22.35" customHeight="1" s="16">
      <c r="A90" s="26" t="inlineStr">
        <is>
          <t>XBR-04</t>
        </is>
      </c>
      <c r="B90" s="26" t="inlineStr">
        <is>
          <t>Cross-border Remittance</t>
        </is>
      </c>
      <c r="C90" s="26" t="inlineStr">
        <is>
          <t>Incoming international then domestic dispersal</t>
        </is>
      </c>
      <c r="D90" s="26" t="inlineStr">
        <is>
          <t>Inbound cross-border ≥ A followed by ≥ N domestic outgoing transfers within T hours</t>
        </is>
      </c>
      <c r="E90" s="26" t="inlineStr">
        <is>
          <t>A=2,000; N=5; T=48h</t>
        </is>
      </c>
      <c r="F90" s="26" t="inlineStr">
        <is>
          <t>High</t>
        </is>
      </c>
      <c r="G90" s="26" t="inlineStr">
        <is>
          <t>P2</t>
        </is>
      </c>
      <c r="H90" s="27">
        <f>COUNTIF('Test Cases'!$C$2:$C$315,A90)</f>
        <v/>
      </c>
    </row>
    <row r="91" ht="22.35" customHeight="1" s="16">
      <c r="A91" s="26" t="inlineStr">
        <is>
          <t>XBR-05</t>
        </is>
      </c>
      <c r="B91" s="26" t="inlineStr">
        <is>
          <t>Cross-border Remittance</t>
        </is>
      </c>
      <c r="C91" s="26" t="inlineStr">
        <is>
          <t>Remittances just below cross-border reporting threshold</t>
        </is>
      </c>
      <c r="D91" s="26" t="inlineStr">
        <is>
          <t>≥ N cross-border transfers in 90–100% band of threshold within D days</t>
        </is>
      </c>
      <c r="E91" s="26" t="inlineStr">
        <is>
          <t>N=3; D=14</t>
        </is>
      </c>
      <c r="F91" s="26" t="inlineStr">
        <is>
          <t>High</t>
        </is>
      </c>
      <c r="G91" s="26" t="inlineStr">
        <is>
          <t>P1</t>
        </is>
      </c>
      <c r="H91" s="27">
        <f>COUNTIF('Test Cases'!$C$2:$C$315,A91)</f>
        <v/>
      </c>
    </row>
    <row r="92" ht="22.35" customHeight="1" s="16">
      <c r="A92" s="26" t="inlineStr">
        <is>
          <t>PRP-01</t>
        </is>
      </c>
      <c r="B92" s="26" t="inlineStr">
        <is>
          <t>Top-ups, Vouchers &amp; Bill Payments</t>
        </is>
      </c>
      <c r="C92" s="26" t="inlineStr">
        <is>
          <t>Excessive mobile top-ups</t>
        </is>
      </c>
      <c r="D92" s="26" t="inlineStr">
        <is>
          <t>Mobile airtime/data top-ups per month ≥ A or ≥ N distinct numbers</t>
        </is>
      </c>
      <c r="E92" s="26" t="inlineStr">
        <is>
          <t>A=500; N=10</t>
        </is>
      </c>
      <c r="F92" s="26" t="inlineStr">
        <is>
          <t>Low</t>
        </is>
      </c>
      <c r="G92" s="26" t="inlineStr">
        <is>
          <t>P2</t>
        </is>
      </c>
      <c r="H92" s="27">
        <f>COUNTIF('Test Cases'!$C$2:$C$315,A92)</f>
        <v/>
      </c>
    </row>
    <row r="93" ht="22.35" customHeight="1" s="16">
      <c r="A93" s="26" t="inlineStr">
        <is>
          <t>PRP-02</t>
        </is>
      </c>
      <c r="B93" s="26" t="inlineStr">
        <is>
          <t>Top-ups, Vouchers &amp; Bill Payments</t>
        </is>
      </c>
      <c r="C93" s="26" t="inlineStr">
        <is>
          <t>Gift card / voucher purchases</t>
        </is>
      </c>
      <c r="D93" s="26" t="inlineStr">
        <is>
          <t>Voucher or gift-card purchases ≥ A within D days</t>
        </is>
      </c>
      <c r="E93" s="26" t="inlineStr">
        <is>
          <t>A=1,000; D=7</t>
        </is>
      </c>
      <c r="F93" s="26" t="inlineStr">
        <is>
          <t>Medium</t>
        </is>
      </c>
      <c r="G93" s="26" t="inlineStr">
        <is>
          <t>P2</t>
        </is>
      </c>
      <c r="H93" s="27">
        <f>COUNTIF('Test Cases'!$C$2:$C$315,A93)</f>
        <v/>
      </c>
    </row>
    <row r="94" ht="22.35" customHeight="1" s="16">
      <c r="A94" s="26" t="inlineStr">
        <is>
          <t>PRP-03</t>
        </is>
      </c>
      <c r="B94" s="26" t="inlineStr">
        <is>
          <t>Top-ups, Vouchers &amp; Bill Payments</t>
        </is>
      </c>
      <c r="C94" s="26" t="inlineStr">
        <is>
          <t>Bill payments for many unrelated accounts</t>
        </is>
      </c>
      <c r="D94" s="26" t="inlineStr">
        <is>
          <t>Bill payments to ≥ N distinct biller account numbers in a month</t>
        </is>
      </c>
      <c r="E94" s="26" t="inlineStr">
        <is>
          <t>N=10</t>
        </is>
      </c>
      <c r="F94" s="26" t="inlineStr">
        <is>
          <t>Low</t>
        </is>
      </c>
      <c r="G94" s="26" t="inlineStr">
        <is>
          <t>P3</t>
        </is>
      </c>
      <c r="H94" s="27">
        <f>COUNTIF('Test Cases'!$C$2:$C$315,A94)</f>
        <v/>
      </c>
    </row>
    <row r="95" ht="22.35" customHeight="1" s="16">
      <c r="A95" s="26" t="inlineStr">
        <is>
          <t>PRP-04</t>
        </is>
      </c>
      <c r="B95" s="26" t="inlineStr">
        <is>
          <t>Top-ups, Vouchers &amp; Bill Payments</t>
        </is>
      </c>
      <c r="C95" s="26" t="inlineStr">
        <is>
          <t>Prepaid card loading and immediate ATM withdrawal abroad</t>
        </is>
      </c>
      <c r="D95" s="26" t="inlineStr">
        <is>
          <t>Card load ≥ A followed by foreign ATM withdrawal within T hours</t>
        </is>
      </c>
      <c r="E95" s="26" t="inlineStr">
        <is>
          <t>A=500; T=12h</t>
        </is>
      </c>
      <c r="F95" s="26" t="inlineStr">
        <is>
          <t>High</t>
        </is>
      </c>
      <c r="G95" s="26" t="inlineStr">
        <is>
          <t>P2</t>
        </is>
      </c>
      <c r="H95" s="27">
        <f>COUNTIF('Test Cases'!$C$2:$C$315,A95)</f>
        <v/>
      </c>
    </row>
    <row r="96" ht="22.35" customHeight="1" s="16">
      <c r="A96" s="26" t="inlineStr">
        <is>
          <t>TF-01</t>
        </is>
      </c>
      <c r="B96" s="26" t="inlineStr">
        <is>
          <t>Terrorist Financing Indicators</t>
        </is>
      </c>
      <c r="C96" s="26" t="inlineStr">
        <is>
          <t>Small transfers to conflict-adjacent areas</t>
        </is>
      </c>
      <c r="D96" s="26" t="inlineStr">
        <is>
          <t>≥ N small transfers to beneficiaries in configured high-risk TF areas within D days</t>
        </is>
      </c>
      <c r="E96" s="26" t="inlineStr">
        <is>
          <t>N=5; each ≤ 200; D=30</t>
        </is>
      </c>
      <c r="F96" s="26" t="inlineStr">
        <is>
          <t>High</t>
        </is>
      </c>
      <c r="G96" s="26" t="inlineStr">
        <is>
          <t>P1</t>
        </is>
      </c>
      <c r="H96" s="27">
        <f>COUNTIF('Test Cases'!$C$2:$C$315,A96)</f>
        <v/>
      </c>
    </row>
    <row r="97" ht="22.35" customHeight="1" s="16">
      <c r="A97" s="26" t="inlineStr">
        <is>
          <t>TF-02</t>
        </is>
      </c>
      <c r="B97" s="26" t="inlineStr">
        <is>
          <t>Terrorist Financing Indicators</t>
        </is>
      </c>
      <c r="C97" s="26" t="inlineStr">
        <is>
          <t>Crowdfunding collection pattern</t>
        </is>
      </c>
      <c r="D97" s="26" t="inlineStr">
        <is>
          <t>≥ N small donations from distinct senders to one individual with remarks containing donation keywords</t>
        </is>
      </c>
      <c r="E97" s="26" t="inlineStr">
        <is>
          <t>N=30; keywords configurable (AR/EN)</t>
        </is>
      </c>
      <c r="F97" s="26" t="inlineStr">
        <is>
          <t>High</t>
        </is>
      </c>
      <c r="G97" s="26" t="inlineStr">
        <is>
          <t>P1</t>
        </is>
      </c>
      <c r="H97" s="27">
        <f>COUNTIF('Test Cases'!$C$2:$C$315,A97)</f>
        <v/>
      </c>
    </row>
    <row r="98" ht="15" customHeight="1" s="16">
      <c r="A98" s="26" t="inlineStr">
        <is>
          <t>TF-03</t>
        </is>
      </c>
      <c r="B98" s="26" t="inlineStr">
        <is>
          <t>Terrorist Financing Indicators</t>
        </is>
      </c>
      <c r="C98" s="26" t="inlineStr">
        <is>
          <t>NPO funds to individuals abroad</t>
        </is>
      </c>
      <c r="D98" s="26" t="inlineStr">
        <is>
          <t>NPO wallet transfers to individuals in high-risk jurisdictions ≥ A</t>
        </is>
      </c>
      <c r="E98" s="26" t="inlineStr">
        <is>
          <t>A=1,000 per month</t>
        </is>
      </c>
      <c r="F98" s="26" t="inlineStr">
        <is>
          <t>High</t>
        </is>
      </c>
      <c r="G98" s="26" t="inlineStr">
        <is>
          <t>P2</t>
        </is>
      </c>
      <c r="H98" s="27">
        <f>COUNTIF('Test Cases'!$C$2:$C$315,A98)</f>
        <v/>
      </c>
    </row>
    <row r="99" ht="22.35" customHeight="1" s="16">
      <c r="A99" s="26" t="inlineStr">
        <is>
          <t>TF-04</t>
        </is>
      </c>
      <c r="B99" s="26" t="inlineStr">
        <is>
          <t>Terrorist Financing Indicators</t>
        </is>
      </c>
      <c r="C99" s="26" t="inlineStr">
        <is>
          <t>Sudden liquidation before travel</t>
        </is>
      </c>
      <c r="D99" s="26" t="inlineStr">
        <is>
          <t>Customer withdraws ≥ P% of balance and sends cross-border within T days after long inactivity</t>
        </is>
      </c>
      <c r="E99" s="26" t="inlineStr">
        <is>
          <t>P=90%; T=3</t>
        </is>
      </c>
      <c r="F99" s="26" t="inlineStr">
        <is>
          <t>Medium</t>
        </is>
      </c>
      <c r="G99" s="26" t="inlineStr">
        <is>
          <t>P2</t>
        </is>
      </c>
      <c r="H99" s="27">
        <f>COUNTIF('Test Cases'!$C$2:$C$315,A99)</f>
        <v/>
      </c>
    </row>
    <row r="100" ht="22.35" customHeight="1" s="16">
      <c r="A100" s="26" t="inlineStr">
        <is>
          <t>SAN-01</t>
        </is>
      </c>
      <c r="B100" s="26" t="inlineStr">
        <is>
          <t>Sanctions &amp; High-risk Counterparties</t>
        </is>
      </c>
      <c r="C100" s="26" t="inlineStr">
        <is>
          <t>Counterparty name matches sanctions list</t>
        </is>
      </c>
      <c r="D100" s="26" t="inlineStr">
        <is>
          <t>Beneficiary or sender name fuzzy-matches a sanctions list entry above score S</t>
        </is>
      </c>
      <c r="E100" s="26" t="inlineStr">
        <is>
          <t>S=85; lists versioned</t>
        </is>
      </c>
      <c r="F100" s="26" t="inlineStr">
        <is>
          <t>Critical</t>
        </is>
      </c>
      <c r="G100" s="26" t="inlineStr">
        <is>
          <t>P1</t>
        </is>
      </c>
      <c r="H100" s="27">
        <f>COUNTIF('Test Cases'!$C$2:$C$315,A100)</f>
        <v/>
      </c>
    </row>
    <row r="101" ht="22.35" customHeight="1" s="16">
      <c r="A101" s="26" t="inlineStr">
        <is>
          <t>SAN-02</t>
        </is>
      </c>
      <c r="B101" s="26" t="inlineStr">
        <is>
          <t>Sanctions &amp; High-risk Counterparties</t>
        </is>
      </c>
      <c r="C101" s="26" t="inlineStr">
        <is>
          <t>Keywords in payment remarks</t>
        </is>
      </c>
      <c r="D101" s="26" t="inlineStr">
        <is>
          <t>Remarks contain configured watch keywords (AR/EN)</t>
        </is>
      </c>
      <c r="E101" s="26" t="inlineStr">
        <is>
          <t>Keyword list configurable</t>
        </is>
      </c>
      <c r="F101" s="26" t="inlineStr">
        <is>
          <t>High</t>
        </is>
      </c>
      <c r="G101" s="26" t="inlineStr">
        <is>
          <t>P1</t>
        </is>
      </c>
      <c r="H101" s="27">
        <f>COUNTIF('Test Cases'!$C$2:$C$315,A101)</f>
        <v/>
      </c>
    </row>
    <row r="102" ht="22.35" customHeight="1" s="16">
      <c r="A102" s="26" t="inlineStr">
        <is>
          <t>SAN-03</t>
        </is>
      </c>
      <c r="B102" s="26" t="inlineStr">
        <is>
          <t>Sanctions &amp; High-risk Counterparties</t>
        </is>
      </c>
      <c r="C102" s="26" t="inlineStr">
        <is>
          <t>Transaction with PEP counterparty</t>
        </is>
      </c>
      <c r="D102" s="26" t="inlineStr">
        <is>
          <t>Transfer ≥ A to or from a PEP</t>
        </is>
      </c>
      <c r="E102" s="26" t="inlineStr">
        <is>
          <t>A=1,000</t>
        </is>
      </c>
      <c r="F102" s="26" t="inlineStr">
        <is>
          <t>Medium</t>
        </is>
      </c>
      <c r="G102" s="26" t="inlineStr">
        <is>
          <t>P2</t>
        </is>
      </c>
      <c r="H102" s="27">
        <f>COUNTIF('Test Cases'!$C$2:$C$315,A102)</f>
        <v/>
      </c>
    </row>
    <row r="103" ht="22.35" customHeight="1" s="16">
      <c r="A103" s="26" t="inlineStr">
        <is>
          <t>SAN-04</t>
        </is>
      </c>
      <c r="B103" s="26" t="inlineStr">
        <is>
          <t>Sanctions &amp; High-risk Counterparties</t>
        </is>
      </c>
      <c r="C103" s="26" t="inlineStr">
        <is>
          <t>Transaction with internal watchlist party</t>
        </is>
      </c>
      <c r="D103" s="26" t="inlineStr">
        <is>
          <t>Any transaction with a party on internal watchlist / do-not-onboard list</t>
        </is>
      </c>
      <c r="E103" s="26" t="inlineStr">
        <is>
          <t>Any amount</t>
        </is>
      </c>
      <c r="F103" s="26" t="inlineStr">
        <is>
          <t>High</t>
        </is>
      </c>
      <c r="G103" s="26" t="inlineStr">
        <is>
          <t>P1</t>
        </is>
      </c>
      <c r="H103" s="27">
        <f>COUNTIF('Test Cases'!$C$2:$C$315,A103)</f>
        <v/>
      </c>
    </row>
    <row r="104" ht="22.35" customHeight="1" s="16">
      <c r="A104" s="26" t="inlineStr">
        <is>
          <t>ATO-01</t>
        </is>
      </c>
      <c r="B104" s="26" t="inlineStr">
        <is>
          <t>Account Takeover Overlap (FRAML)</t>
        </is>
      </c>
      <c r="C104" s="26" t="inlineStr">
        <is>
          <t>Password reset then transfer of balance</t>
        </is>
      </c>
      <c r="D104" s="26" t="inlineStr">
        <is>
          <t>Forgot-password completion followed by outgoing ≥ P% of balance within T hours</t>
        </is>
      </c>
      <c r="E104" s="26" t="inlineStr">
        <is>
          <t>P=70%; T=6h</t>
        </is>
      </c>
      <c r="F104" s="26" t="inlineStr">
        <is>
          <t>High</t>
        </is>
      </c>
      <c r="G104" s="26" t="inlineStr">
        <is>
          <t>P1</t>
        </is>
      </c>
      <c r="H104" s="27">
        <f>COUNTIF('Test Cases'!$C$2:$C$315,A104)</f>
        <v/>
      </c>
    </row>
    <row r="105" ht="22.35" customHeight="1" s="16">
      <c r="A105" s="26" t="inlineStr">
        <is>
          <t>ATO-02</t>
        </is>
      </c>
      <c r="B105" s="26" t="inlineStr">
        <is>
          <t>Account Takeover Overlap (FRAML)</t>
        </is>
      </c>
      <c r="C105" s="26" t="inlineStr">
        <is>
          <t>New beneficiary and full balance transfer</t>
        </is>
      </c>
      <c r="D105" s="26" t="inlineStr">
        <is>
          <t>Transfer ≥ P% of balance to a beneficiary added within T minutes</t>
        </is>
      </c>
      <c r="E105" s="26" t="inlineStr">
        <is>
          <t>P=80%; T=30</t>
        </is>
      </c>
      <c r="F105" s="26" t="inlineStr">
        <is>
          <t>High</t>
        </is>
      </c>
      <c r="G105" s="26" t="inlineStr">
        <is>
          <t>P1</t>
        </is>
      </c>
      <c r="H105" s="27">
        <f>COUNTIF('Test Cases'!$C$2:$C$315,A105)</f>
        <v/>
      </c>
    </row>
    <row r="106" ht="22.35" customHeight="1" s="16">
      <c r="A106" s="26" t="inlineStr">
        <is>
          <t>ATO-03</t>
        </is>
      </c>
      <c r="B106" s="26" t="inlineStr">
        <is>
          <t>Account Takeover Overlap (FRAML)</t>
        </is>
      </c>
      <c r="C106" s="26" t="inlineStr">
        <is>
          <t>Login from new country then transfer</t>
        </is>
      </c>
      <c r="D106" s="26" t="inlineStr">
        <is>
          <t>First login from a new country followed by outgoing transfer within T hours</t>
        </is>
      </c>
      <c r="E106" s="26" t="inlineStr">
        <is>
          <t>T=1h</t>
        </is>
      </c>
      <c r="F106" s="26" t="inlineStr">
        <is>
          <t>Medium</t>
        </is>
      </c>
      <c r="G106" s="26" t="inlineStr">
        <is>
          <t>P2</t>
        </is>
      </c>
      <c r="H106" s="27">
        <f>COUNTIF('Test Cases'!$C$2:$C$315,A106)</f>
        <v/>
      </c>
    </row>
    <row r="107" ht="15" customHeight="1" s="16">
      <c r="A107" s="26" t="inlineStr">
        <is>
          <t>VAG-01</t>
        </is>
      </c>
      <c r="B107" s="26" t="inlineStr">
        <is>
          <t>Virtual Assets &amp; Gambling</t>
        </is>
      </c>
      <c r="C107" s="26" t="inlineStr">
        <is>
          <t>Transfers to virtual-asset service providers</t>
        </is>
      </c>
      <c r="D107" s="26" t="inlineStr">
        <is>
          <t>Payments to merchants/beneficiaries classified as VASP ≥ A per month</t>
        </is>
      </c>
      <c r="E107" s="26" t="inlineStr">
        <is>
          <t>A=1,000</t>
        </is>
      </c>
      <c r="F107" s="26" t="inlineStr">
        <is>
          <t>Medium</t>
        </is>
      </c>
      <c r="G107" s="26" t="inlineStr">
        <is>
          <t>P2</t>
        </is>
      </c>
      <c r="H107" s="27">
        <f>COUNTIF('Test Cases'!$C$2:$C$315,A107)</f>
        <v/>
      </c>
    </row>
    <row r="108" ht="15" customHeight="1" s="16">
      <c r="A108" s="26" t="inlineStr">
        <is>
          <t>VAG-02</t>
        </is>
      </c>
      <c r="B108" s="26" t="inlineStr">
        <is>
          <t>Virtual Assets &amp; Gambling</t>
        </is>
      </c>
      <c r="C108" s="26" t="inlineStr">
        <is>
          <t>Gambling-related payments</t>
        </is>
      </c>
      <c r="D108" s="26" t="inlineStr">
        <is>
          <t>Payments to MCC/merchants classified as gambling ≥ A per month</t>
        </is>
      </c>
      <c r="E108" s="26" t="inlineStr">
        <is>
          <t>A=500</t>
        </is>
      </c>
      <c r="F108" s="26" t="inlineStr">
        <is>
          <t>Medium</t>
        </is>
      </c>
      <c r="G108" s="26" t="inlineStr">
        <is>
          <t>P3</t>
        </is>
      </c>
      <c r="H108" s="27">
        <f>COUNTIF('Test Cases'!$C$2:$C$315,A108)</f>
        <v/>
      </c>
    </row>
    <row r="109" ht="15" customHeight="1" s="16">
      <c r="A109" s="26" t="inlineStr">
        <is>
          <t>VAG-03</t>
        </is>
      </c>
      <c r="B109" s="26" t="inlineStr">
        <is>
          <t>Virtual Assets &amp; Gambling</t>
        </is>
      </c>
      <c r="C109" s="26" t="inlineStr">
        <is>
          <t>Inflows from VASP followed by cash-out</t>
        </is>
      </c>
      <c r="D109" s="26" t="inlineStr">
        <is>
          <t>Incoming from VASP ≥ A then cash-out ≥ P% within T hours</t>
        </is>
      </c>
      <c r="E109" s="26" t="inlineStr">
        <is>
          <t>A=1,000; P=80%; T=24h</t>
        </is>
      </c>
      <c r="F109" s="26" t="inlineStr">
        <is>
          <t>High</t>
        </is>
      </c>
      <c r="G109" s="26" t="inlineStr">
        <is>
          <t>P2</t>
        </is>
      </c>
      <c r="H109" s="27">
        <f>COUNTIF('Test Cases'!$C$2:$C$315,A109)</f>
        <v/>
      </c>
    </row>
    <row r="110" ht="22.35" customHeight="1" s="16">
      <c r="A110" s="26" t="inlineStr">
        <is>
          <t>ENG-01</t>
        </is>
      </c>
      <c r="B110" s="26" t="inlineStr">
        <is>
          <t>Engine Edge Cases (applies to all scenarios)</t>
        </is>
      </c>
      <c r="C110" s="26" t="inlineStr">
        <is>
          <t>Status handling in aggregation</t>
        </is>
      </c>
      <c r="D110" s="26" t="inlineStr">
        <is>
          <t>Only statuses configured as financial activity are counted</t>
        </is>
      </c>
      <c r="E110" s="26" t="inlineStr">
        <is>
          <t>Counted=Completed; excluded=Failed, Pending, Cancelled</t>
        </is>
      </c>
      <c r="F110" s="26" t="inlineStr">
        <is>
          <t>—</t>
        </is>
      </c>
      <c r="G110" s="26" t="inlineStr">
        <is>
          <t>P1</t>
        </is>
      </c>
      <c r="H110" s="27">
        <f>COUNTIF('Test Cases'!$C$2:$C$315,A110)</f>
        <v/>
      </c>
    </row>
    <row r="111" ht="22.35" customHeight="1" s="16">
      <c r="A111" s="26" t="inlineStr">
        <is>
          <t>ENG-02</t>
        </is>
      </c>
      <c r="B111" s="26" t="inlineStr">
        <is>
          <t>Engine Edge Cases (applies to all scenarios)</t>
        </is>
      </c>
      <c r="C111" s="26" t="inlineStr">
        <is>
          <t>Reversal netting</t>
        </is>
      </c>
      <c r="D111" s="26" t="inlineStr">
        <is>
          <t>Reversed amounts netted or excluded per rule configuration</t>
        </is>
      </c>
      <c r="E111" s="26" t="inlineStr">
        <is>
          <t>Policy per rule</t>
        </is>
      </c>
      <c r="F111" s="26" t="inlineStr">
        <is>
          <t>—</t>
        </is>
      </c>
      <c r="G111" s="26" t="inlineStr">
        <is>
          <t>P1</t>
        </is>
      </c>
      <c r="H111" s="27">
        <f>COUNTIF('Test Cases'!$C$2:$C$315,A111)</f>
        <v/>
      </c>
    </row>
    <row r="112" ht="22.35" customHeight="1" s="16">
      <c r="A112" s="26" t="inlineStr">
        <is>
          <t>ENG-03</t>
        </is>
      </c>
      <c r="B112" s="26" t="inlineStr">
        <is>
          <t>Engine Edge Cases (applies to all scenarios)</t>
        </is>
      </c>
      <c r="C112" s="26" t="inlineStr">
        <is>
          <t>Time-zone windows</t>
        </is>
      </c>
      <c r="D112" s="26" t="inlineStr">
        <is>
          <t>Calendar windows evaluated in institution time zone</t>
        </is>
      </c>
      <c r="E112" s="26" t="inlineStr">
        <is>
          <t>Asia/Amman</t>
        </is>
      </c>
      <c r="F112" s="26" t="inlineStr">
        <is>
          <t>—</t>
        </is>
      </c>
      <c r="G112" s="26" t="inlineStr">
        <is>
          <t>P1</t>
        </is>
      </c>
      <c r="H112" s="27">
        <f>COUNTIF('Test Cases'!$C$2:$C$315,A112)</f>
        <v/>
      </c>
    </row>
    <row r="113" ht="22.35" customHeight="1" s="16">
      <c r="A113" s="26" t="inlineStr">
        <is>
          <t>ENG-04</t>
        </is>
      </c>
      <c r="B113" s="26" t="inlineStr">
        <is>
          <t>Engine Edge Cases (applies to all scenarios)</t>
        </is>
      </c>
      <c r="C113" s="26" t="inlineStr">
        <is>
          <t>Multi-currency aggregation</t>
        </is>
      </c>
      <c r="D113" s="26" t="inlineStr">
        <is>
          <t>Conversion to base currency with versioned FX</t>
        </is>
      </c>
      <c r="E113" s="26" t="inlineStr">
        <is>
          <t>Base JOD</t>
        </is>
      </c>
      <c r="F113" s="26" t="inlineStr">
        <is>
          <t>—</t>
        </is>
      </c>
      <c r="G113" s="26" t="inlineStr">
        <is>
          <t>P1</t>
        </is>
      </c>
      <c r="H113" s="27">
        <f>COUNTIF('Test Cases'!$C$2:$C$315,A113)</f>
        <v/>
      </c>
    </row>
    <row r="114" ht="22.35" customHeight="1" s="16">
      <c r="A114" s="26" t="inlineStr">
        <is>
          <t>ENG-05</t>
        </is>
      </c>
      <c r="B114" s="26" t="inlineStr">
        <is>
          <t>Engine Edge Cases (applies to all scenarios)</t>
        </is>
      </c>
      <c r="C114" s="26" t="inlineStr">
        <is>
          <t>Alert deduplication across reruns</t>
        </is>
      </c>
      <c r="D114" s="26" t="inlineStr">
        <is>
          <t>Same subject, rule version and window produce one alert</t>
        </is>
      </c>
      <c r="E114" s="26" t="inlineStr">
        <is>
          <t>Dedup key configurable</t>
        </is>
      </c>
      <c r="F114" s="26" t="inlineStr">
        <is>
          <t>—</t>
        </is>
      </c>
      <c r="G114" s="26" t="inlineStr">
        <is>
          <t>P1</t>
        </is>
      </c>
      <c r="H114" s="27">
        <f>COUNTIF('Test Cases'!$C$2:$C$315,A114)</f>
        <v/>
      </c>
    </row>
    <row r="115" ht="22.35" customHeight="1" s="16">
      <c r="A115" s="26" t="inlineStr">
        <is>
          <t>ENG-06</t>
        </is>
      </c>
      <c r="B115" s="26" t="inlineStr">
        <is>
          <t>Engine Edge Cases (applies to all scenarios)</t>
        </is>
      </c>
      <c r="C115" s="26" t="inlineStr">
        <is>
          <t>Late-arriving transactions</t>
        </is>
      </c>
      <c r="D115" s="26" t="inlineStr">
        <is>
          <t>Transactions ingested after window closed are evaluated against correct window</t>
        </is>
      </c>
      <c r="E115" s="26" t="inlineStr">
        <is>
          <t>Re-evaluation lookback configurable</t>
        </is>
      </c>
      <c r="F115" s="26" t="inlineStr">
        <is>
          <t>—</t>
        </is>
      </c>
      <c r="G115" s="26" t="inlineStr">
        <is>
          <t>P1</t>
        </is>
      </c>
      <c r="H115" s="27">
        <f>COUNTIF('Test Cases'!$C$2:$C$315,A115)</f>
        <v/>
      </c>
    </row>
    <row r="116" ht="22.35" customHeight="1" s="16">
      <c r="A116" s="26" t="inlineStr">
        <is>
          <t>ENG-07</t>
        </is>
      </c>
      <c r="B116" s="26" t="inlineStr">
        <is>
          <t>Engine Edge Cases (applies to all scenarios)</t>
        </is>
      </c>
      <c r="C116" s="26" t="inlineStr">
        <is>
          <t>Customer-level vs wallet-level aggregation</t>
        </is>
      </c>
      <c r="D116" s="26" t="inlineStr">
        <is>
          <t>Rules aggregate by resolved customer unless configured per wallet</t>
        </is>
      </c>
      <c r="E116" s="26" t="inlineStr">
        <is>
          <t>Aggregation dimension per rule</t>
        </is>
      </c>
      <c r="F116" s="26" t="inlineStr">
        <is>
          <t>—</t>
        </is>
      </c>
      <c r="G116" s="26" t="inlineStr">
        <is>
          <t>P1</t>
        </is>
      </c>
      <c r="H116" s="27">
        <f>COUNTIF('Test Cases'!$C$2:$C$315,A116)</f>
        <v/>
      </c>
    </row>
    <row r="117" ht="22.35" customHeight="1" s="16">
      <c r="A117" s="26" t="inlineStr">
        <is>
          <t>ENG-08</t>
        </is>
      </c>
      <c r="B117" s="26" t="inlineStr">
        <is>
          <t>Engine Edge Cases (applies to all scenarios)</t>
        </is>
      </c>
      <c r="C117" s="26" t="inlineStr">
        <is>
          <t>Duplicate source records</t>
        </is>
      </c>
      <c r="D117" s="26" t="inlineStr">
        <is>
          <t>Duplicate ingestion must not inflate counts</t>
        </is>
      </c>
      <c r="E117" s="26" t="inlineStr">
        <is>
          <t>Idempotency by source + transaction ID</t>
        </is>
      </c>
      <c r="F117" s="26" t="inlineStr">
        <is>
          <t>—</t>
        </is>
      </c>
      <c r="G117" s="26" t="inlineStr">
        <is>
          <t>P1</t>
        </is>
      </c>
      <c r="H117" s="27">
        <f>COUNTIF('Test Cases'!$C$2:$C$315,A117)</f>
        <v/>
      </c>
    </row>
    <row r="118" ht="22.35" customHeight="1" s="16">
      <c r="A118" s="26" t="inlineStr">
        <is>
          <t>ENG-09</t>
        </is>
      </c>
      <c r="B118" s="26" t="inlineStr">
        <is>
          <t>Engine Edge Cases (applies to all scenarios)</t>
        </is>
      </c>
      <c r="C118" s="26" t="inlineStr">
        <is>
          <t>Rule versioning effect</t>
        </is>
      </c>
      <c r="D118" s="26" t="inlineStr">
        <is>
          <t>Evaluation uses rule version effective at execution time; evidence immutable</t>
        </is>
      </c>
      <c r="E118" s="26" t="inlineStr">
        <is>
          <t>—</t>
        </is>
      </c>
      <c r="F118" s="26" t="inlineStr">
        <is>
          <t>—</t>
        </is>
      </c>
      <c r="G118" s="26" t="inlineStr">
        <is>
          <t>P1</t>
        </is>
      </c>
      <c r="H118" s="27">
        <f>COUNTIF('Test Cases'!$C$2:$C$315,A118)</f>
        <v/>
      </c>
    </row>
    <row r="119" ht="22.35" customHeight="1" s="16">
      <c r="A119" s="26" t="inlineStr">
        <is>
          <t>ENG-10</t>
        </is>
      </c>
      <c r="B119" s="26" t="inlineStr">
        <is>
          <t>Engine Edge Cases (applies to all scenarios)</t>
        </is>
      </c>
      <c r="C119" s="26" t="inlineStr">
        <is>
          <t>Internal and fee transactions</t>
        </is>
      </c>
      <c r="D119" s="26" t="inlineStr">
        <is>
          <t>Fees, internal clearing and system adjustments excluded from customer behaviour counts</t>
        </is>
      </c>
      <c r="E119" s="26" t="inlineStr">
        <is>
          <t>Configurable sub-types</t>
        </is>
      </c>
      <c r="F119" s="26" t="inlineStr">
        <is>
          <t>—</t>
        </is>
      </c>
      <c r="G119" s="26" t="inlineStr">
        <is>
          <t>P2</t>
        </is>
      </c>
      <c r="H119" s="27">
        <f>COUNTIF('Test Cases'!$C$2:$C$315,A119)</f>
        <v/>
      </c>
    </row>
    <row r="120" ht="22.35" customHeight="1" s="16">
      <c r="A120" s="26" t="inlineStr">
        <is>
          <t>ENG-11</t>
        </is>
      </c>
      <c r="B120" s="26" t="inlineStr">
        <is>
          <t>Engine Edge Cases (applies to all scenarios)</t>
        </is>
      </c>
      <c r="C120" s="26" t="inlineStr">
        <is>
          <t>Real-time and batch consistency</t>
        </is>
      </c>
      <c r="D120" s="26" t="inlineStr">
        <is>
          <t>Same rule evaluated in real time and batch yields same decision</t>
        </is>
      </c>
      <c r="E120" s="26" t="inlineStr">
        <is>
          <t>Rule flagged real-time capable</t>
        </is>
      </c>
      <c r="F120" s="26" t="inlineStr">
        <is>
          <t>—</t>
        </is>
      </c>
      <c r="G120" s="26" t="inlineStr">
        <is>
          <t>P2</t>
        </is>
      </c>
      <c r="H120" s="27">
        <f>COUNTIF('Test Cases'!$C$2:$C$315,A120)</f>
        <v/>
      </c>
    </row>
    <row r="121" ht="22.35" customHeight="1" s="16">
      <c r="A121" s="26" t="inlineStr">
        <is>
          <t>ENG-12</t>
        </is>
      </c>
      <c r="B121" s="26" t="inlineStr">
        <is>
          <t>Engine Edge Cases (applies to all scenarios)</t>
        </is>
      </c>
      <c r="C121" s="26" t="inlineStr">
        <is>
          <t>Performance at scale</t>
        </is>
      </c>
      <c r="D121" s="26" t="inlineStr">
        <is>
          <t>Windowed rules run on peak daily volume within target time</t>
        </is>
      </c>
      <c r="E121" s="26" t="inlineStr">
        <is>
          <t>Volume and target per NFR</t>
        </is>
      </c>
      <c r="F121" s="26" t="inlineStr">
        <is>
          <t>—</t>
        </is>
      </c>
      <c r="G121" s="26" t="inlineStr">
        <is>
          <t>P1</t>
        </is>
      </c>
      <c r="H121" s="27">
        <f>COUNTIF('Test Cases'!$C$2:$C$315,A121)</f>
        <v/>
      </c>
    </row>
  </sheetData>
  <autoFilter ref="A1:H12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O315"/>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13" customWidth="1" style="15" min="1" max="1"/>
    <col width="22" customWidth="1" style="15" min="2" max="2"/>
    <col width="10" customWidth="1" style="15" min="3" max="3"/>
    <col width="30" customWidth="1" style="15" min="4" max="4"/>
    <col width="10" customWidth="1" style="15" min="5" max="5"/>
    <col width="55" customWidth="1" style="15" min="6" max="6"/>
    <col width="48" customWidth="1" style="15" min="7" max="7"/>
    <col width="9" customWidth="1" style="15" min="8" max="8"/>
    <col width="8" customWidth="1" style="15" min="9" max="9"/>
    <col width="10" customWidth="1" style="15" min="10" max="10"/>
    <col width="30" customWidth="1" style="15" min="11" max="11"/>
    <col width="12" customWidth="1" style="15" min="12" max="13"/>
    <col width="11" customWidth="1" style="15" min="14" max="14"/>
    <col width="24" customWidth="1" style="15" min="15" max="15"/>
  </cols>
  <sheetData>
    <row r="1" ht="30" customHeight="1" s="16">
      <c r="A1" s="19" t="inlineStr">
        <is>
          <t>TC ID</t>
        </is>
      </c>
      <c r="B1" s="19" t="inlineStr">
        <is>
          <t>Category</t>
        </is>
      </c>
      <c r="C1" s="19" t="inlineStr">
        <is>
          <t>Scenario ID</t>
        </is>
      </c>
      <c r="D1" s="19" t="inlineStr">
        <is>
          <t>Scenario</t>
        </is>
      </c>
      <c r="E1" s="19" t="inlineStr">
        <is>
          <t>Test Type</t>
        </is>
      </c>
      <c r="F1" s="19" t="inlineStr">
        <is>
          <t>Test Description &amp; Transaction Data</t>
        </is>
      </c>
      <c r="G1" s="19" t="inlineStr">
        <is>
          <t>Expected Result</t>
        </is>
      </c>
      <c r="H1" s="19" t="inlineStr">
        <is>
          <t>Alert Severity</t>
        </is>
      </c>
      <c r="I1" s="19" t="inlineStr">
        <is>
          <t>Priority</t>
        </is>
      </c>
      <c r="J1" s="19" t="inlineStr">
        <is>
          <t>Status</t>
        </is>
      </c>
      <c r="K1" s="19" t="inlineStr">
        <is>
          <t>Actual Result</t>
        </is>
      </c>
      <c r="L1" s="19" t="inlineStr">
        <is>
          <t>Tester</t>
        </is>
      </c>
      <c r="M1" s="19" t="inlineStr">
        <is>
          <t>Execution Date</t>
        </is>
      </c>
      <c r="N1" s="19" t="inlineStr">
        <is>
          <t>Defect ID</t>
        </is>
      </c>
      <c r="O1" s="19" t="inlineStr">
        <is>
          <t>Notes</t>
        </is>
      </c>
    </row>
    <row r="2" ht="22.35" customHeight="1" s="16">
      <c r="A2" s="26" t="inlineStr">
        <is>
          <t>TM-VEL-01-01</t>
        </is>
      </c>
      <c r="B2" s="26" t="inlineStr">
        <is>
          <t>Velocity &amp; Frequency</t>
        </is>
      </c>
      <c r="C2" s="26" t="inlineStr">
        <is>
          <t>VEL-01</t>
        </is>
      </c>
      <c r="D2" s="26" t="inlineStr">
        <is>
          <t>High count of cash withdrawals per day</t>
        </is>
      </c>
      <c r="E2" s="26" t="inlineStr">
        <is>
          <t>Positive</t>
        </is>
      </c>
      <c r="F2" s="26" t="inlineStr">
        <is>
          <t>C1 performs 20 cash withdrawals of 50 JOD at agents between 09:00 and 18:00 on the same day</t>
        </is>
      </c>
      <c r="G2" s="26" t="inlineStr">
        <is>
          <t>Alert raised on the 20th withdrawal; evidence lists all 20 transactions and the day window</t>
        </is>
      </c>
      <c r="H2" s="26" t="inlineStr">
        <is>
          <t>High</t>
        </is>
      </c>
      <c r="I2" s="26" t="inlineStr">
        <is>
          <t>P1</t>
        </is>
      </c>
      <c r="J2" s="28" t="inlineStr">
        <is>
          <t>Pass</t>
        </is>
      </c>
      <c r="K2" s="29" t="inlineStr">
        <is>
          <t>1 alert (ALR-202610-000146) triggered by the 20th withdrawal (V01A-369-19); 20 contributing transactions linked; evidence window 2025-01-03 21:00Z–2025-01-04 21:00Z.</t>
        </is>
      </c>
      <c r="L2" s="29" t="inlineStr">
        <is>
          <t>Claude (automated test suite)</t>
        </is>
      </c>
      <c r="M2" s="29" t="inlineStr">
        <is>
          <t>2026-10-15</t>
        </is>
      </c>
      <c r="N2" s="29" t="n"/>
      <c r="O2" s="29" t="inlineStr">
        <is>
          <t>Automated: VelocityTests.VEL_01_cash_withdrawals_per_day</t>
        </is>
      </c>
    </row>
    <row r="3" ht="15" customHeight="1" s="16">
      <c r="A3" s="26" t="inlineStr">
        <is>
          <t>TM-VEL-01-02</t>
        </is>
      </c>
      <c r="B3" s="26" t="inlineStr">
        <is>
          <t>Velocity &amp; Frequency</t>
        </is>
      </c>
      <c r="C3" s="26" t="inlineStr">
        <is>
          <t>VEL-01</t>
        </is>
      </c>
      <c r="D3" s="26" t="inlineStr">
        <is>
          <t>High count of cash withdrawals per day</t>
        </is>
      </c>
      <c r="E3" s="26" t="inlineStr">
        <is>
          <t>Boundary</t>
        </is>
      </c>
      <c r="F3" s="26" t="inlineStr">
        <is>
          <t>C1 performs exactly 19 withdrawals in one day</t>
        </is>
      </c>
      <c r="G3" s="26" t="inlineStr">
        <is>
          <t>No alert</t>
        </is>
      </c>
      <c r="H3" s="26" t="inlineStr">
        <is>
          <t>High</t>
        </is>
      </c>
      <c r="I3" s="26" t="inlineStr">
        <is>
          <t>P1</t>
        </is>
      </c>
      <c r="J3" s="28" t="inlineStr">
        <is>
          <t>Pass</t>
        </is>
      </c>
      <c r="K3" s="29" t="inlineStr">
        <is>
          <t>19 withdrawals → 0 alerts.</t>
        </is>
      </c>
      <c r="L3" s="29" t="inlineStr">
        <is>
          <t>Claude (automated test suite)</t>
        </is>
      </c>
      <c r="M3" s="29" t="inlineStr">
        <is>
          <t>2026-10-15</t>
        </is>
      </c>
      <c r="N3" s="29" t="n"/>
      <c r="O3" s="29" t="inlineStr">
        <is>
          <t>Automated: VelocityTests.VEL_01_cash_withdrawals_per_day</t>
        </is>
      </c>
    </row>
    <row r="4" ht="15" customHeight="1" s="16">
      <c r="A4" s="26" t="inlineStr">
        <is>
          <t>TM-VEL-01-03</t>
        </is>
      </c>
      <c r="B4" s="26" t="inlineStr">
        <is>
          <t>Velocity &amp; Frequency</t>
        </is>
      </c>
      <c r="C4" s="26" t="inlineStr">
        <is>
          <t>VEL-01</t>
        </is>
      </c>
      <c r="D4" s="26" t="inlineStr">
        <is>
          <t>High count of cash withdrawals per day</t>
        </is>
      </c>
      <c r="E4" s="26" t="inlineStr">
        <is>
          <t>Boundary</t>
        </is>
      </c>
      <c r="F4" s="26" t="inlineStr">
        <is>
          <t>20 withdrawals where the 20th is at 23:59:59 local time</t>
        </is>
      </c>
      <c r="G4" s="26" t="inlineStr">
        <is>
          <t>Alert raised (same calendar day)</t>
        </is>
      </c>
      <c r="H4" s="26" t="inlineStr">
        <is>
          <t>High</t>
        </is>
      </c>
      <c r="I4" s="26" t="inlineStr">
        <is>
          <t>P1</t>
        </is>
      </c>
      <c r="J4" s="28" t="inlineStr">
        <is>
          <t>Pass</t>
        </is>
      </c>
      <c r="K4" s="29" t="inlineStr">
        <is>
          <t>20th withdrawal at 23:59:59 local → 1 alert (same calendar day 2025-01-03 21:00Z–2025-01-04 21:00Z).</t>
        </is>
      </c>
      <c r="L4" s="29" t="inlineStr">
        <is>
          <t>Claude (automated test suite)</t>
        </is>
      </c>
      <c r="M4" s="29" t="inlineStr">
        <is>
          <t>2026-10-15</t>
        </is>
      </c>
      <c r="N4" s="29" t="n"/>
      <c r="O4" s="29" t="inlineStr">
        <is>
          <t>Automated: VelocityTests.VEL_01_cash_withdrawals_per_day</t>
        </is>
      </c>
    </row>
    <row r="5" ht="15" customHeight="1" s="16">
      <c r="A5" s="26" t="inlineStr">
        <is>
          <t>TM-VEL-01-04</t>
        </is>
      </c>
      <c r="B5" s="26" t="inlineStr">
        <is>
          <t>Velocity &amp; Frequency</t>
        </is>
      </c>
      <c r="C5" s="26" t="inlineStr">
        <is>
          <t>VEL-01</t>
        </is>
      </c>
      <c r="D5" s="26" t="inlineStr">
        <is>
          <t>High count of cash withdrawals per day</t>
        </is>
      </c>
      <c r="E5" s="26" t="inlineStr">
        <is>
          <t>Negative</t>
        </is>
      </c>
      <c r="F5" s="26" t="inlineStr">
        <is>
          <t>10 withdrawals at 23:00–23:59 and 10 at 00:00–01:00 next day (local)</t>
        </is>
      </c>
      <c r="G5" s="26" t="inlineStr">
        <is>
          <t>No alert for daily calendar rule (two days of 10)</t>
        </is>
      </c>
      <c r="H5" s="26" t="inlineStr">
        <is>
          <t>High</t>
        </is>
      </c>
      <c r="I5" s="26" t="inlineStr">
        <is>
          <t>P1</t>
        </is>
      </c>
      <c r="J5" s="28" t="inlineStr">
        <is>
          <t>Pass</t>
        </is>
      </c>
      <c r="K5" s="29" t="inlineStr">
        <is>
          <t>10 withdrawals 23:00–23:45 and 10 on the next local day → 0 alerts (two calendar days of 10).</t>
        </is>
      </c>
      <c r="L5" s="29" t="inlineStr">
        <is>
          <t>Claude (automated test suite)</t>
        </is>
      </c>
      <c r="M5" s="29" t="inlineStr">
        <is>
          <t>2026-10-15</t>
        </is>
      </c>
      <c r="N5" s="29" t="n"/>
      <c r="O5" s="29" t="inlineStr">
        <is>
          <t>Automated: VelocityTests.VEL_01_cash_withdrawals_per_day</t>
        </is>
      </c>
    </row>
    <row r="6" ht="15" customHeight="1" s="16">
      <c r="A6" s="26" t="inlineStr">
        <is>
          <t>TM-VEL-01-05</t>
        </is>
      </c>
      <c r="B6" s="26" t="inlineStr">
        <is>
          <t>Velocity &amp; Frequency</t>
        </is>
      </c>
      <c r="C6" s="26" t="inlineStr">
        <is>
          <t>VEL-01</t>
        </is>
      </c>
      <c r="D6" s="26" t="inlineStr">
        <is>
          <t>High count of cash withdrawals per day</t>
        </is>
      </c>
      <c r="E6" s="26" t="inlineStr">
        <is>
          <t>Negative</t>
        </is>
      </c>
      <c r="F6" s="26" t="inlineStr">
        <is>
          <t>20 withdrawal attempts where 6 are Failed</t>
        </is>
      </c>
      <c r="G6" s="26" t="inlineStr">
        <is>
          <t>No alert (only 14 completed)</t>
        </is>
      </c>
      <c r="H6" s="26" t="inlineStr">
        <is>
          <t>High</t>
        </is>
      </c>
      <c r="I6" s="26" t="inlineStr">
        <is>
          <t>P1</t>
        </is>
      </c>
      <c r="J6" s="28" t="inlineStr">
        <is>
          <t>Pass</t>
        </is>
      </c>
      <c r="K6" s="29" t="inlineStr">
        <is>
          <t>20 attempts, 6 Failed → 14 completed counted → 0 alerts.</t>
        </is>
      </c>
      <c r="L6" s="29" t="inlineStr">
        <is>
          <t>Claude (automated test suite)</t>
        </is>
      </c>
      <c r="M6" s="29" t="inlineStr">
        <is>
          <t>2026-10-15</t>
        </is>
      </c>
      <c r="N6" s="29" t="n"/>
      <c r="O6" s="29" t="inlineStr">
        <is>
          <t>Automated: VelocityTests.VEL_01_cash_withdrawals_per_day</t>
        </is>
      </c>
    </row>
    <row r="7" ht="22.35" customHeight="1" s="16">
      <c r="A7" s="26" t="inlineStr">
        <is>
          <t>TM-VEL-01-06</t>
        </is>
      </c>
      <c r="B7" s="26" t="inlineStr">
        <is>
          <t>Velocity &amp; Frequency</t>
        </is>
      </c>
      <c r="C7" s="26" t="inlineStr">
        <is>
          <t>VEL-01</t>
        </is>
      </c>
      <c r="D7" s="26" t="inlineStr">
        <is>
          <t>High count of cash withdrawals per day</t>
        </is>
      </c>
      <c r="E7" s="26" t="inlineStr">
        <is>
          <t>Edge</t>
        </is>
      </c>
      <c r="F7" s="26" t="inlineStr">
        <is>
          <t>20 withdrawals, 3 later reversed</t>
        </is>
      </c>
      <c r="G7" s="26" t="inlineStr">
        <is>
          <t>Behaviour per configured netting policy; evidence shows reversals</t>
        </is>
      </c>
      <c r="H7" s="26" t="inlineStr">
        <is>
          <t>High</t>
        </is>
      </c>
      <c r="I7" s="26" t="inlineStr">
        <is>
          <t>P1</t>
        </is>
      </c>
      <c r="J7" s="28" t="inlineStr">
        <is>
          <t>Pass</t>
        </is>
      </c>
      <c r="K7" s="29" t="inlineStr">
        <is>
          <t>Rule netting policy 'Exclude': 3 of 20 withdrawals reversed → 17 counted → 0 alerts (with policy 'Include' the reversed items would count).</t>
        </is>
      </c>
      <c r="L7" s="29" t="inlineStr">
        <is>
          <t>Claude (automated test suite)</t>
        </is>
      </c>
      <c r="M7" s="29" t="inlineStr">
        <is>
          <t>2026-10-15</t>
        </is>
      </c>
      <c r="N7" s="29" t="n"/>
      <c r="O7" s="29" t="inlineStr">
        <is>
          <t>Automated: VelocityTests.VEL_01_cash_withdrawals_per_day</t>
        </is>
      </c>
    </row>
    <row r="8" ht="22.35" customHeight="1" s="16">
      <c r="A8" s="26" t="inlineStr">
        <is>
          <t>TM-VEL-01-07</t>
        </is>
      </c>
      <c r="B8" s="26" t="inlineStr">
        <is>
          <t>Velocity &amp; Frequency</t>
        </is>
      </c>
      <c r="C8" s="26" t="inlineStr">
        <is>
          <t>VEL-01</t>
        </is>
      </c>
      <c r="D8" s="26" t="inlineStr">
        <is>
          <t>High count of cash withdrawals per day</t>
        </is>
      </c>
      <c r="E8" s="26" t="inlineStr">
        <is>
          <t>Edge</t>
        </is>
      </c>
      <c r="F8" s="26" t="inlineStr">
        <is>
          <t>20 withdrawals split across 2 wallets of the same customer</t>
        </is>
      </c>
      <c r="G8" s="26" t="inlineStr">
        <is>
          <t>Alert raised at customer level (aggregation by resolved customer)</t>
        </is>
      </c>
      <c r="H8" s="26" t="inlineStr">
        <is>
          <t>High</t>
        </is>
      </c>
      <c r="I8" s="26" t="inlineStr">
        <is>
          <t>P1</t>
        </is>
      </c>
      <c r="J8" s="28" t="inlineStr">
        <is>
          <t>Pass</t>
        </is>
      </c>
      <c r="K8" s="29" t="inlineStr">
        <is>
          <t>20 withdrawals split 10/10 across two wallets of the same customer → 1 customer-level alert.</t>
        </is>
      </c>
      <c r="L8" s="29" t="inlineStr">
        <is>
          <t>Claude (automated test suite)</t>
        </is>
      </c>
      <c r="M8" s="29" t="inlineStr">
        <is>
          <t>2026-10-15</t>
        </is>
      </c>
      <c r="N8" s="29" t="n"/>
      <c r="O8" s="29" t="inlineStr">
        <is>
          <t>Automated: VelocityTests.VEL_01_cash_withdrawals_per_day</t>
        </is>
      </c>
    </row>
    <row r="9" ht="22.35" customHeight="1" s="16">
      <c r="A9" s="26" t="inlineStr">
        <is>
          <t>TM-VEL-02-01</t>
        </is>
      </c>
      <c r="B9" s="26" t="inlineStr">
        <is>
          <t>Velocity &amp; Frequency</t>
        </is>
      </c>
      <c r="C9" s="26" t="inlineStr">
        <is>
          <t>VEL-02</t>
        </is>
      </c>
      <c r="D9" s="26" t="inlineStr">
        <is>
          <t>High count of withdrawals per hour (burst)</t>
        </is>
      </c>
      <c r="E9" s="26" t="inlineStr">
        <is>
          <t>Positive</t>
        </is>
      </c>
      <c r="F9" s="26" t="inlineStr">
        <is>
          <t>C2 performs 8 ATM withdrawals of 100 JOD between 14:00 and 14:45</t>
        </is>
      </c>
      <c r="G9" s="26" t="inlineStr">
        <is>
          <t>Alert raised; window boundaries in evidence</t>
        </is>
      </c>
      <c r="H9" s="26" t="inlineStr">
        <is>
          <t>High</t>
        </is>
      </c>
      <c r="I9" s="26" t="inlineStr">
        <is>
          <t>P1</t>
        </is>
      </c>
      <c r="J9" s="28" t="inlineStr">
        <is>
          <t>Pass</t>
        </is>
      </c>
      <c r="K9" s="29" t="inlineStr">
        <is>
          <t>8 ATM withdrawals 14:00–14:42 → 1 alert; rolling 60-min window boundaries in evidence.</t>
        </is>
      </c>
      <c r="L9" s="29" t="inlineStr">
        <is>
          <t>Claude (automated test suite)</t>
        </is>
      </c>
      <c r="M9" s="29" t="inlineStr">
        <is>
          <t>2026-10-15</t>
        </is>
      </c>
      <c r="N9" s="29" t="n"/>
      <c r="O9" s="29" t="inlineStr">
        <is>
          <t>Automated: VelocityTests.VEL_02_withdrawal_burst_per_hour</t>
        </is>
      </c>
    </row>
    <row r="10" ht="22.35" customHeight="1" s="16">
      <c r="A10" s="26" t="inlineStr">
        <is>
          <t>TM-VEL-02-02</t>
        </is>
      </c>
      <c r="B10" s="26" t="inlineStr">
        <is>
          <t>Velocity &amp; Frequency</t>
        </is>
      </c>
      <c r="C10" s="26" t="inlineStr">
        <is>
          <t>VEL-02</t>
        </is>
      </c>
      <c r="D10" s="26" t="inlineStr">
        <is>
          <t>High count of withdrawals per hour (burst)</t>
        </is>
      </c>
      <c r="E10" s="26" t="inlineStr">
        <is>
          <t>Boundary</t>
        </is>
      </c>
      <c r="F10" s="26" t="inlineStr">
        <is>
          <t>8 withdrawals spanning exactly 60 minutes 01 second</t>
        </is>
      </c>
      <c r="G10" s="26" t="inlineStr">
        <is>
          <t>No alert</t>
        </is>
      </c>
      <c r="H10" s="26" t="inlineStr">
        <is>
          <t>High</t>
        </is>
      </c>
      <c r="I10" s="26" t="inlineStr">
        <is>
          <t>P1</t>
        </is>
      </c>
      <c r="J10" s="28" t="inlineStr">
        <is>
          <t>Pass</t>
        </is>
      </c>
      <c r="K10" s="29" t="inlineStr">
        <is>
          <t>8 withdrawals spanning 60 min 01 s (window (t−60m, t]) → 0 alerts.</t>
        </is>
      </c>
      <c r="L10" s="29" t="inlineStr">
        <is>
          <t>Claude (automated test suite)</t>
        </is>
      </c>
      <c r="M10" s="29" t="inlineStr">
        <is>
          <t>2026-10-15</t>
        </is>
      </c>
      <c r="N10" s="29" t="n"/>
      <c r="O10" s="29" t="inlineStr">
        <is>
          <t>Automated: VelocityTests.VEL_02_withdrawal_burst_per_hour</t>
        </is>
      </c>
    </row>
    <row r="11" ht="22.35" customHeight="1" s="16">
      <c r="A11" s="26" t="inlineStr">
        <is>
          <t>TM-VEL-02-03</t>
        </is>
      </c>
      <c r="B11" s="26" t="inlineStr">
        <is>
          <t>Velocity &amp; Frequency</t>
        </is>
      </c>
      <c r="C11" s="26" t="inlineStr">
        <is>
          <t>VEL-02</t>
        </is>
      </c>
      <c r="D11" s="26" t="inlineStr">
        <is>
          <t>High count of withdrawals per hour (burst)</t>
        </is>
      </c>
      <c r="E11" s="26" t="inlineStr">
        <is>
          <t>Negative</t>
        </is>
      </c>
      <c r="F11" s="26" t="inlineStr">
        <is>
          <t>8 withdrawals spread evenly across 8 hours</t>
        </is>
      </c>
      <c r="G11" s="26" t="inlineStr">
        <is>
          <t>No alert for burst rule</t>
        </is>
      </c>
      <c r="H11" s="26" t="inlineStr">
        <is>
          <t>High</t>
        </is>
      </c>
      <c r="I11" s="26" t="inlineStr">
        <is>
          <t>P1</t>
        </is>
      </c>
      <c r="J11" s="28" t="inlineStr">
        <is>
          <t>Pass</t>
        </is>
      </c>
      <c r="K11" s="29" t="inlineStr">
        <is>
          <t>8 withdrawals one per hour → 0 alerts.</t>
        </is>
      </c>
      <c r="L11" s="29" t="inlineStr">
        <is>
          <t>Claude (automated test suite)</t>
        </is>
      </c>
      <c r="M11" s="29" t="inlineStr">
        <is>
          <t>2026-10-15</t>
        </is>
      </c>
      <c r="N11" s="29" t="n"/>
      <c r="O11" s="29" t="inlineStr">
        <is>
          <t>Automated: VelocityTests.VEL_02_withdrawal_burst_per_hour</t>
        </is>
      </c>
    </row>
    <row r="12" ht="22.35" customHeight="1" s="16">
      <c r="A12" s="26" t="inlineStr">
        <is>
          <t>TM-VEL-02-04</t>
        </is>
      </c>
      <c r="B12" s="26" t="inlineStr">
        <is>
          <t>Velocity &amp; Frequency</t>
        </is>
      </c>
      <c r="C12" s="26" t="inlineStr">
        <is>
          <t>VEL-02</t>
        </is>
      </c>
      <c r="D12" s="26" t="inlineStr">
        <is>
          <t>High count of withdrawals per hour (burst)</t>
        </is>
      </c>
      <c r="E12" s="26" t="inlineStr">
        <is>
          <t>Edge</t>
        </is>
      </c>
      <c r="F12" s="26" t="inlineStr">
        <is>
          <t>Burst window crosses midnight (23:30–00:20)</t>
        </is>
      </c>
      <c r="G12" s="26" t="inlineStr">
        <is>
          <t>Alert raised (rolling window ignores calendar day)</t>
        </is>
      </c>
      <c r="H12" s="26" t="inlineStr">
        <is>
          <t>High</t>
        </is>
      </c>
      <c r="I12" s="26" t="inlineStr">
        <is>
          <t>P1</t>
        </is>
      </c>
      <c r="J12" s="28" t="inlineStr">
        <is>
          <t>Pass</t>
        </is>
      </c>
      <c r="K12" s="29" t="inlineStr">
        <is>
          <t>Burst 23:30–00:19 local across midnight → 1 alert (rolling window ignores calendar day).</t>
        </is>
      </c>
      <c r="L12" s="29" t="inlineStr">
        <is>
          <t>Claude (automated test suite)</t>
        </is>
      </c>
      <c r="M12" s="29" t="inlineStr">
        <is>
          <t>2026-10-15</t>
        </is>
      </c>
      <c r="N12" s="29" t="n"/>
      <c r="O12" s="29" t="inlineStr">
        <is>
          <t>Automated: VelocityTests.VEL_02_withdrawal_burst_per_hour</t>
        </is>
      </c>
    </row>
    <row r="13" ht="22.35" customHeight="1" s="16">
      <c r="A13" s="26" t="inlineStr">
        <is>
          <t>TM-VEL-03-01</t>
        </is>
      </c>
      <c r="B13" s="26" t="inlineStr">
        <is>
          <t>Velocity &amp; Frequency</t>
        </is>
      </c>
      <c r="C13" s="26" t="inlineStr">
        <is>
          <t>VEL-03</t>
        </is>
      </c>
      <c r="D13" s="26" t="inlineStr">
        <is>
          <t>High count of outgoing P2P transfers per day</t>
        </is>
      </c>
      <c r="E13" s="26" t="inlineStr">
        <is>
          <t>Positive</t>
        </is>
      </c>
      <c r="F13" s="26" t="inlineStr">
        <is>
          <t>C3 sends 30 P2P transfers of 10–40 JOD to various wallets in one day</t>
        </is>
      </c>
      <c r="G13" s="26" t="inlineStr">
        <is>
          <t>Alert raised</t>
        </is>
      </c>
      <c r="H13" s="26" t="inlineStr">
        <is>
          <t>Medium</t>
        </is>
      </c>
      <c r="I13" s="26" t="inlineStr">
        <is>
          <t>P1</t>
        </is>
      </c>
      <c r="J13" s="28" t="inlineStr">
        <is>
          <t>Pass</t>
        </is>
      </c>
      <c r="K13" s="29" t="inlineStr">
        <is>
          <t>30 P2P transfers (10–40 JOD) in one day → 1 alert.</t>
        </is>
      </c>
      <c r="L13" s="29" t="inlineStr">
        <is>
          <t>Claude (automated test suite)</t>
        </is>
      </c>
      <c r="M13" s="29" t="inlineStr">
        <is>
          <t>2026-10-15</t>
        </is>
      </c>
      <c r="N13" s="29" t="n"/>
      <c r="O13" s="29" t="inlineStr">
        <is>
          <t>Automated: VelocityTests.VEL_03_outgoing_p2p_per_day</t>
        </is>
      </c>
    </row>
    <row r="14" ht="22.35" customHeight="1" s="16">
      <c r="A14" s="26" t="inlineStr">
        <is>
          <t>TM-VEL-03-02</t>
        </is>
      </c>
      <c r="B14" s="26" t="inlineStr">
        <is>
          <t>Velocity &amp; Frequency</t>
        </is>
      </c>
      <c r="C14" s="26" t="inlineStr">
        <is>
          <t>VEL-03</t>
        </is>
      </c>
      <c r="D14" s="26" t="inlineStr">
        <is>
          <t>High count of outgoing P2P transfers per day</t>
        </is>
      </c>
      <c r="E14" s="26" t="inlineStr">
        <is>
          <t>Boundary</t>
        </is>
      </c>
      <c r="F14" s="26" t="inlineStr">
        <is>
          <t>29 transfers</t>
        </is>
      </c>
      <c r="G14" s="26" t="inlineStr">
        <is>
          <t>No alert</t>
        </is>
      </c>
      <c r="H14" s="26" t="inlineStr">
        <is>
          <t>Medium</t>
        </is>
      </c>
      <c r="I14" s="26" t="inlineStr">
        <is>
          <t>P1</t>
        </is>
      </c>
      <c r="J14" s="28" t="inlineStr">
        <is>
          <t>Pass</t>
        </is>
      </c>
      <c r="K14" s="29" t="inlineStr">
        <is>
          <t>29 transfers → 0 alerts.</t>
        </is>
      </c>
      <c r="L14" s="29" t="inlineStr">
        <is>
          <t>Claude (automated test suite)</t>
        </is>
      </c>
      <c r="M14" s="29" t="inlineStr">
        <is>
          <t>2026-10-15</t>
        </is>
      </c>
      <c r="N14" s="29" t="n"/>
      <c r="O14" s="29" t="inlineStr">
        <is>
          <t>Automated: VelocityTests.VEL_03_outgoing_p2p_per_day</t>
        </is>
      </c>
    </row>
    <row r="15" ht="22.35" customHeight="1" s="16">
      <c r="A15" s="26" t="inlineStr">
        <is>
          <t>TM-VEL-03-03</t>
        </is>
      </c>
      <c r="B15" s="26" t="inlineStr">
        <is>
          <t>Velocity &amp; Frequency</t>
        </is>
      </c>
      <c r="C15" s="26" t="inlineStr">
        <is>
          <t>VEL-03</t>
        </is>
      </c>
      <c r="D15" s="26" t="inlineStr">
        <is>
          <t>High count of outgoing P2P transfers per day</t>
        </is>
      </c>
      <c r="E15" s="26" t="inlineStr">
        <is>
          <t>Negative</t>
        </is>
      </c>
      <c r="F15" s="26" t="inlineStr">
        <is>
          <t>30 transfers where 15 are to the customer's own second wallet</t>
        </is>
      </c>
      <c r="G15" s="26" t="inlineStr">
        <is>
          <t>Own-account transfers excluded per configuration; no alert</t>
        </is>
      </c>
      <c r="H15" s="26" t="inlineStr">
        <is>
          <t>Medium</t>
        </is>
      </c>
      <c r="I15" s="26" t="inlineStr">
        <is>
          <t>P1</t>
        </is>
      </c>
      <c r="J15" s="28" t="inlineStr">
        <is>
          <t>Pass</t>
        </is>
      </c>
      <c r="K15" s="29" t="inlineStr">
        <is>
          <t>30 transfers of which 15 to the customer's own second wallet → 0 alert(s). Own-account transfers excluded by the rule filter txn.isOwnAccount = false (15 counted).</t>
        </is>
      </c>
      <c r="L15" s="29" t="inlineStr">
        <is>
          <t>Claude (automated test suite)</t>
        </is>
      </c>
      <c r="M15" s="29" t="inlineStr">
        <is>
          <t>2026-10-15</t>
        </is>
      </c>
      <c r="N15" s="29" t="inlineStr">
        <is>
          <t>DEF-TM-01 (fixed)</t>
        </is>
      </c>
      <c r="O15" s="29" t="inlineStr">
        <is>
          <t>Automated: VelocityTests.VEL_03_outgoing_p2p_per_day. Failed in the first execution (DEF-TM-01: Own-wallet / self-transfer exclusion not configurable); fixed: Rule field txn.isOwnAccount; re-tested 2026-10-15.</t>
        </is>
      </c>
    </row>
    <row r="16" ht="22.35" customHeight="1" s="16">
      <c r="A16" s="26" t="inlineStr">
        <is>
          <t>TM-VEL-03-04</t>
        </is>
      </c>
      <c r="B16" s="26" t="inlineStr">
        <is>
          <t>Velocity &amp; Frequency</t>
        </is>
      </c>
      <c r="C16" s="26" t="inlineStr">
        <is>
          <t>VEL-03</t>
        </is>
      </c>
      <c r="D16" s="26" t="inlineStr">
        <is>
          <t>High count of outgoing P2P transfers per day</t>
        </is>
      </c>
      <c r="E16" s="26" t="inlineStr">
        <is>
          <t>Edge</t>
        </is>
      </c>
      <c r="F16" s="26" t="inlineStr">
        <is>
          <t>Customer type = Merchant with higher configured threshold (N=200)</t>
        </is>
      </c>
      <c r="G16" s="26" t="inlineStr">
        <is>
          <t>No alert at 30</t>
        </is>
      </c>
      <c r="H16" s="26" t="inlineStr">
        <is>
          <t>Medium</t>
        </is>
      </c>
      <c r="I16" s="26" t="inlineStr">
        <is>
          <t>P1</t>
        </is>
      </c>
      <c r="J16" s="28" t="inlineStr">
        <is>
          <t>Pass</t>
        </is>
      </c>
      <c r="K16" s="29" t="inlineStr">
        <is>
          <t>Merchant with 30 transfers: individual rule scoped out, merchant rule threshold 200 → 0 alerts.</t>
        </is>
      </c>
      <c r="L16" s="29" t="inlineStr">
        <is>
          <t>Claude (automated test suite)</t>
        </is>
      </c>
      <c r="M16" s="29" t="inlineStr">
        <is>
          <t>2026-10-15</t>
        </is>
      </c>
      <c r="N16" s="29" t="n"/>
      <c r="O16" s="29" t="inlineStr">
        <is>
          <t>Automated: VelocityTests.VEL_03_outgoing_p2p_per_day</t>
        </is>
      </c>
    </row>
    <row r="17" ht="22.35" customHeight="1" s="16">
      <c r="A17" s="26" t="inlineStr">
        <is>
          <t>TM-VEL-04-01</t>
        </is>
      </c>
      <c r="B17" s="26" t="inlineStr">
        <is>
          <t>Velocity &amp; Frequency</t>
        </is>
      </c>
      <c r="C17" s="26" t="inlineStr">
        <is>
          <t>VEL-04</t>
        </is>
      </c>
      <c r="D17" s="26" t="inlineStr">
        <is>
          <t>High count of incoming transfers per day</t>
        </is>
      </c>
      <c r="E17" s="26" t="inlineStr">
        <is>
          <t>Positive</t>
        </is>
      </c>
      <c r="F17" s="26" t="inlineStr">
        <is>
          <t>C4 receives 25 transfers of 20 JOD from different senders in one day</t>
        </is>
      </c>
      <c r="G17" s="26" t="inlineStr">
        <is>
          <t>Alert raised</t>
        </is>
      </c>
      <c r="H17" s="26" t="inlineStr">
        <is>
          <t>Medium</t>
        </is>
      </c>
      <c r="I17" s="26" t="inlineStr">
        <is>
          <t>P1</t>
        </is>
      </c>
      <c r="J17" s="28" t="inlineStr">
        <is>
          <t>Pass</t>
        </is>
      </c>
      <c r="K17" s="29" t="inlineStr">
        <is>
          <t>25 incoming transfers of 20 from different senders → 1 alert.</t>
        </is>
      </c>
      <c r="L17" s="29" t="inlineStr">
        <is>
          <t>Claude (automated test suite)</t>
        </is>
      </c>
      <c r="M17" s="29" t="inlineStr">
        <is>
          <t>2026-10-15</t>
        </is>
      </c>
      <c r="N17" s="29" t="n"/>
      <c r="O17" s="29" t="inlineStr">
        <is>
          <t>Automated: VelocityTests.VEL_04_incoming_per_day</t>
        </is>
      </c>
    </row>
    <row r="18" ht="22.35" customHeight="1" s="16">
      <c r="A18" s="26" t="inlineStr">
        <is>
          <t>TM-VEL-04-02</t>
        </is>
      </c>
      <c r="B18" s="26" t="inlineStr">
        <is>
          <t>Velocity &amp; Frequency</t>
        </is>
      </c>
      <c r="C18" s="26" t="inlineStr">
        <is>
          <t>VEL-04</t>
        </is>
      </c>
      <c r="D18" s="26" t="inlineStr">
        <is>
          <t>High count of incoming transfers per day</t>
        </is>
      </c>
      <c r="E18" s="26" t="inlineStr">
        <is>
          <t>Boundary</t>
        </is>
      </c>
      <c r="F18" s="26" t="inlineStr">
        <is>
          <t>24 incoming transfers</t>
        </is>
      </c>
      <c r="G18" s="26" t="inlineStr">
        <is>
          <t>No alert</t>
        </is>
      </c>
      <c r="H18" s="26" t="inlineStr">
        <is>
          <t>Medium</t>
        </is>
      </c>
      <c r="I18" s="26" t="inlineStr">
        <is>
          <t>P1</t>
        </is>
      </c>
      <c r="J18" s="28" t="inlineStr">
        <is>
          <t>Pass</t>
        </is>
      </c>
      <c r="K18" s="29" t="inlineStr">
        <is>
          <t>24 incoming → 0 alerts.</t>
        </is>
      </c>
      <c r="L18" s="29" t="inlineStr">
        <is>
          <t>Claude (automated test suite)</t>
        </is>
      </c>
      <c r="M18" s="29" t="inlineStr">
        <is>
          <t>2026-10-15</t>
        </is>
      </c>
      <c r="N18" s="29" t="n"/>
      <c r="O18" s="29" t="inlineStr">
        <is>
          <t>Automated: VelocityTests.VEL_04_incoming_per_day</t>
        </is>
      </c>
    </row>
    <row r="19" ht="22.35" customHeight="1" s="16">
      <c r="A19" s="26" t="inlineStr">
        <is>
          <t>TM-VEL-04-03</t>
        </is>
      </c>
      <c r="B19" s="26" t="inlineStr">
        <is>
          <t>Velocity &amp; Frequency</t>
        </is>
      </c>
      <c r="C19" s="26" t="inlineStr">
        <is>
          <t>VEL-04</t>
        </is>
      </c>
      <c r="D19" s="26" t="inlineStr">
        <is>
          <t>High count of incoming transfers per day</t>
        </is>
      </c>
      <c r="E19" s="26" t="inlineStr">
        <is>
          <t>Negative</t>
        </is>
      </c>
      <c r="F19" s="26" t="inlineStr">
        <is>
          <t>25 incoming refunds from a merchant</t>
        </is>
      </c>
      <c r="G19" s="26" t="inlineStr">
        <is>
          <t>Refunds excluded per configuration; no alert</t>
        </is>
      </c>
      <c r="H19" s="26" t="inlineStr">
        <is>
          <t>Medium</t>
        </is>
      </c>
      <c r="I19" s="26" t="inlineStr">
        <is>
          <t>P1</t>
        </is>
      </c>
      <c r="J19" s="28" t="inlineStr">
        <is>
          <t>Pass</t>
        </is>
      </c>
      <c r="K19" s="29" t="inlineStr">
        <is>
          <t>25 incoming merchant refunds excluded by type filter → 0 alerts.</t>
        </is>
      </c>
      <c r="L19" s="29" t="inlineStr">
        <is>
          <t>Claude (automated test suite)</t>
        </is>
      </c>
      <c r="M19" s="29" t="inlineStr">
        <is>
          <t>2026-10-15</t>
        </is>
      </c>
      <c r="N19" s="29" t="n"/>
      <c r="O19" s="29" t="inlineStr">
        <is>
          <t>Automated: VelocityTests.VEL_04_incoming_per_day</t>
        </is>
      </c>
    </row>
    <row r="20" ht="22.35" customHeight="1" s="16">
      <c r="A20" s="26" t="inlineStr">
        <is>
          <t>TM-VEL-04-04</t>
        </is>
      </c>
      <c r="B20" s="26" t="inlineStr">
        <is>
          <t>Velocity &amp; Frequency</t>
        </is>
      </c>
      <c r="C20" s="26" t="inlineStr">
        <is>
          <t>VEL-04</t>
        </is>
      </c>
      <c r="D20" s="26" t="inlineStr">
        <is>
          <t>High count of incoming transfers per day</t>
        </is>
      </c>
      <c r="E20" s="26" t="inlineStr">
        <is>
          <t>Edge</t>
        </is>
      </c>
      <c r="F20" s="26" t="inlineStr">
        <is>
          <t>Incoming salary bulk payment counted as one batch</t>
        </is>
      </c>
      <c r="G20" s="26" t="inlineStr">
        <is>
          <t>Counted once; no alert</t>
        </is>
      </c>
      <c r="H20" s="26" t="inlineStr">
        <is>
          <t>Medium</t>
        </is>
      </c>
      <c r="I20" s="26" t="inlineStr">
        <is>
          <t>P1</t>
        </is>
      </c>
      <c r="J20" s="28" t="inlineStr">
        <is>
          <t>Pass</t>
        </is>
      </c>
      <c r="K20" s="29" t="inlineStr">
        <is>
          <t>Salary bulk payment ingested as one batch record → counted once → 0 alerts.</t>
        </is>
      </c>
      <c r="L20" s="29" t="inlineStr">
        <is>
          <t>Claude (automated test suite)</t>
        </is>
      </c>
      <c r="M20" s="29" t="inlineStr">
        <is>
          <t>2026-10-15</t>
        </is>
      </c>
      <c r="N20" s="29" t="n"/>
      <c r="O20" s="29" t="inlineStr">
        <is>
          <t>Automated: VelocityTests.VEL_04_incoming_per_day</t>
        </is>
      </c>
    </row>
    <row r="21" ht="15" customHeight="1" s="16">
      <c r="A21" s="26" t="inlineStr">
        <is>
          <t>TM-VEL-05-01</t>
        </is>
      </c>
      <c r="B21" s="26" t="inlineStr">
        <is>
          <t>Velocity &amp; Frequency</t>
        </is>
      </c>
      <c r="C21" s="26" t="inlineStr">
        <is>
          <t>VEL-05</t>
        </is>
      </c>
      <c r="D21" s="26" t="inlineStr">
        <is>
          <t>Weekly transaction count spike</t>
        </is>
      </c>
      <c r="E21" s="26" t="inlineStr">
        <is>
          <t>Positive</t>
        </is>
      </c>
      <c r="F21" s="26" t="inlineStr">
        <is>
          <t>C5 performs 101 transactions of mixed types in 6 days</t>
        </is>
      </c>
      <c r="G21" s="26" t="inlineStr">
        <is>
          <t>Alert raised</t>
        </is>
      </c>
      <c r="H21" s="26" t="inlineStr">
        <is>
          <t>Medium</t>
        </is>
      </c>
      <c r="I21" s="26" t="inlineStr">
        <is>
          <t>P2</t>
        </is>
      </c>
      <c r="J21" s="28" t="inlineStr">
        <is>
          <t>Pass</t>
        </is>
      </c>
      <c r="K21" s="29" t="inlineStr">
        <is>
          <t>101 mixed transactions in ~5.6 days → 1 alert(s).</t>
        </is>
      </c>
      <c r="L21" s="29" t="inlineStr">
        <is>
          <t>Claude (automated test suite)</t>
        </is>
      </c>
      <c r="M21" s="29" t="inlineStr">
        <is>
          <t>2026-10-15</t>
        </is>
      </c>
      <c r="N21" s="29" t="n"/>
      <c r="O21" s="29" t="inlineStr">
        <is>
          <t>Automated: VelocityTests.VEL_05_weekly_count</t>
        </is>
      </c>
    </row>
    <row r="22" ht="15" customHeight="1" s="16">
      <c r="A22" s="26" t="inlineStr">
        <is>
          <t>TM-VEL-05-02</t>
        </is>
      </c>
      <c r="B22" s="26" t="inlineStr">
        <is>
          <t>Velocity &amp; Frequency</t>
        </is>
      </c>
      <c r="C22" s="26" t="inlineStr">
        <is>
          <t>VEL-05</t>
        </is>
      </c>
      <c r="D22" s="26" t="inlineStr">
        <is>
          <t>Weekly transaction count spike</t>
        </is>
      </c>
      <c r="E22" s="26" t="inlineStr">
        <is>
          <t>Boundary</t>
        </is>
      </c>
      <c r="F22" s="26" t="inlineStr">
        <is>
          <t>100 transactions in 7 days</t>
        </is>
      </c>
      <c r="G22" s="26" t="inlineStr">
        <is>
          <t>Alert raised (≥)</t>
        </is>
      </c>
      <c r="H22" s="26" t="inlineStr">
        <is>
          <t>Medium</t>
        </is>
      </c>
      <c r="I22" s="26" t="inlineStr">
        <is>
          <t>P2</t>
        </is>
      </c>
      <c r="J22" s="28" t="inlineStr">
        <is>
          <t>Pass</t>
        </is>
      </c>
      <c r="K22" s="29" t="inlineStr">
        <is>
          <t>Exactly 100 transactions within 6.9 days → 1 alert (≥).</t>
        </is>
      </c>
      <c r="L22" s="29" t="inlineStr">
        <is>
          <t>Claude (automated test suite)</t>
        </is>
      </c>
      <c r="M22" s="29" t="inlineStr">
        <is>
          <t>2026-10-15</t>
        </is>
      </c>
      <c r="N22" s="29" t="n"/>
      <c r="O22" s="29" t="inlineStr">
        <is>
          <t>Automated: VelocityTests.VEL_05_weekly_count</t>
        </is>
      </c>
    </row>
    <row r="23" ht="15" customHeight="1" s="16">
      <c r="A23" s="26" t="inlineStr">
        <is>
          <t>TM-VEL-05-03</t>
        </is>
      </c>
      <c r="B23" s="26" t="inlineStr">
        <is>
          <t>Velocity &amp; Frequency</t>
        </is>
      </c>
      <c r="C23" s="26" t="inlineStr">
        <is>
          <t>VEL-05</t>
        </is>
      </c>
      <c r="D23" s="26" t="inlineStr">
        <is>
          <t>Weekly transaction count spike</t>
        </is>
      </c>
      <c r="E23" s="26" t="inlineStr">
        <is>
          <t>Negative</t>
        </is>
      </c>
      <c r="F23" s="26" t="inlineStr">
        <is>
          <t>100 transactions over 8 days</t>
        </is>
      </c>
      <c r="G23" s="26" t="inlineStr">
        <is>
          <t>No alert</t>
        </is>
      </c>
      <c r="H23" s="26" t="inlineStr">
        <is>
          <t>Medium</t>
        </is>
      </c>
      <c r="I23" s="26" t="inlineStr">
        <is>
          <t>P2</t>
        </is>
      </c>
      <c r="J23" s="28" t="inlineStr">
        <is>
          <t>Pass</t>
        </is>
      </c>
      <c r="K23" s="29" t="inlineStr">
        <is>
          <t>100 transactions spread over 8 days → 0 alerts.</t>
        </is>
      </c>
      <c r="L23" s="29" t="inlineStr">
        <is>
          <t>Claude (automated test suite)</t>
        </is>
      </c>
      <c r="M23" s="29" t="inlineStr">
        <is>
          <t>2026-10-15</t>
        </is>
      </c>
      <c r="N23" s="29" t="n"/>
      <c r="O23" s="29" t="inlineStr">
        <is>
          <t>Automated: VelocityTests.VEL_05_weekly_count</t>
        </is>
      </c>
    </row>
    <row r="24" ht="15" customHeight="1" s="16">
      <c r="A24" s="26" t="inlineStr">
        <is>
          <t>TM-VEL-05-04</t>
        </is>
      </c>
      <c r="B24" s="26" t="inlineStr">
        <is>
          <t>Velocity &amp; Frequency</t>
        </is>
      </c>
      <c r="C24" s="26" t="inlineStr">
        <is>
          <t>VEL-05</t>
        </is>
      </c>
      <c r="D24" s="26" t="inlineStr">
        <is>
          <t>Weekly transaction count spike</t>
        </is>
      </c>
      <c r="E24" s="26" t="inlineStr">
        <is>
          <t>Edge</t>
        </is>
      </c>
      <c r="F24" s="26" t="inlineStr">
        <is>
          <t>Rule applicability excludes corporate customers; corporate with 150</t>
        </is>
      </c>
      <c r="G24" s="26" t="inlineStr">
        <is>
          <t>No alert</t>
        </is>
      </c>
      <c r="H24" s="26" t="inlineStr">
        <is>
          <t>Medium</t>
        </is>
      </c>
      <c r="I24" s="26" t="inlineStr">
        <is>
          <t>P2</t>
        </is>
      </c>
      <c r="J24" s="28" t="inlineStr">
        <is>
          <t>Pass</t>
        </is>
      </c>
      <c r="K24" s="29" t="inlineStr">
        <is>
          <t>Corporate with 150 in a week, rule scoped to individuals → 0 alerts.</t>
        </is>
      </c>
      <c r="L24" s="29" t="inlineStr">
        <is>
          <t>Claude (automated test suite)</t>
        </is>
      </c>
      <c r="M24" s="29" t="inlineStr">
        <is>
          <t>2026-10-15</t>
        </is>
      </c>
      <c r="N24" s="29" t="n"/>
      <c r="O24" s="29" t="inlineStr">
        <is>
          <t>Automated: VelocityTests.VEL_05_weekly_count</t>
        </is>
      </c>
    </row>
    <row r="25" ht="22.35" customHeight="1" s="16">
      <c r="A25" s="26" t="inlineStr">
        <is>
          <t>TM-VEL-06-01</t>
        </is>
      </c>
      <c r="B25" s="26" t="inlineStr">
        <is>
          <t>Velocity &amp; Frequency</t>
        </is>
      </c>
      <c r="C25" s="26" t="inlineStr">
        <is>
          <t>VEL-06</t>
        </is>
      </c>
      <c r="D25" s="26" t="inlineStr">
        <is>
          <t>Many transactions within minutes of account opening</t>
        </is>
      </c>
      <c r="E25" s="26" t="inlineStr">
        <is>
          <t>Positive</t>
        </is>
      </c>
      <c r="F25" s="26" t="inlineStr">
        <is>
          <t>New wallet registered 10:00; 10 transactions by 18:00 same day</t>
        </is>
      </c>
      <c r="G25" s="26" t="inlineStr">
        <is>
          <t>Alert raised; account age in evidence</t>
        </is>
      </c>
      <c r="H25" s="26" t="inlineStr">
        <is>
          <t>High</t>
        </is>
      </c>
      <c r="I25" s="26" t="inlineStr">
        <is>
          <t>P1</t>
        </is>
      </c>
      <c r="J25" s="28" t="inlineStr">
        <is>
          <t>Pass</t>
        </is>
      </c>
      <c r="K25" s="29" t="inlineStr">
        <is>
          <t>Wallet registered on the day, 10 transactions 10:30–17:15 → 1 alert; account age (customer.accountAgeDays = 0) in the matched conditions.</t>
        </is>
      </c>
      <c r="L25" s="29" t="inlineStr">
        <is>
          <t>Claude (automated test suite)</t>
        </is>
      </c>
      <c r="M25" s="29" t="inlineStr">
        <is>
          <t>2026-10-15</t>
        </is>
      </c>
      <c r="N25" s="29" t="n"/>
      <c r="O25" s="29" t="inlineStr">
        <is>
          <t>Automated: ExtendedCapabilityTests.VEL_06_activity_right_after_registration. Blocked in the first execution (capability gap); executable after the rule DSL extension.</t>
        </is>
      </c>
    </row>
    <row r="26" ht="22.35" customHeight="1" s="16">
      <c r="A26" s="26" t="inlineStr">
        <is>
          <t>TM-VEL-06-02</t>
        </is>
      </c>
      <c r="B26" s="26" t="inlineStr">
        <is>
          <t>Velocity &amp; Frequency</t>
        </is>
      </c>
      <c r="C26" s="26" t="inlineStr">
        <is>
          <t>VEL-06</t>
        </is>
      </c>
      <c r="D26" s="26" t="inlineStr">
        <is>
          <t>Many transactions within minutes of account opening</t>
        </is>
      </c>
      <c r="E26" s="26" t="inlineStr">
        <is>
          <t>Boundary</t>
        </is>
      </c>
      <c r="F26" s="26" t="inlineStr">
        <is>
          <t>10th transaction at 24h 01m after registration</t>
        </is>
      </c>
      <c r="G26" s="26" t="inlineStr">
        <is>
          <t>No alert</t>
        </is>
      </c>
      <c r="H26" s="26" t="inlineStr">
        <is>
          <t>High</t>
        </is>
      </c>
      <c r="I26" s="26" t="inlineStr">
        <is>
          <t>P1</t>
        </is>
      </c>
      <c r="J26" s="28" t="inlineStr">
        <is>
          <t>Pass</t>
        </is>
      </c>
      <c r="K26" s="29" t="inlineStr">
        <is>
          <t>9 transactions from 10:00 and the 10th at 24 h 01 m → 0 alerts (rolling 24 h window).</t>
        </is>
      </c>
      <c r="L26" s="29" t="inlineStr">
        <is>
          <t>Claude (automated test suite)</t>
        </is>
      </c>
      <c r="M26" s="29" t="inlineStr">
        <is>
          <t>2026-10-15</t>
        </is>
      </c>
      <c r="N26" s="29" t="n"/>
      <c r="O26" s="29" t="inlineStr">
        <is>
          <t>Automated: ExtendedCapabilityTests.VEL_06_activity_right_after_registration. Note: registration is stored as a date, so account age has day (not minute) precision.. Blocked in the first execution (capability gap); executable after the rule DSL extension.</t>
        </is>
      </c>
    </row>
    <row r="27" ht="22.35" customHeight="1" s="16">
      <c r="A27" s="26" t="inlineStr">
        <is>
          <t>TM-VEL-06-03</t>
        </is>
      </c>
      <c r="B27" s="26" t="inlineStr">
        <is>
          <t>Velocity &amp; Frequency</t>
        </is>
      </c>
      <c r="C27" s="26" t="inlineStr">
        <is>
          <t>VEL-06</t>
        </is>
      </c>
      <c r="D27" s="26" t="inlineStr">
        <is>
          <t>Many transactions within minutes of account opening</t>
        </is>
      </c>
      <c r="E27" s="26" t="inlineStr">
        <is>
          <t>Negative</t>
        </is>
      </c>
      <c r="F27" s="26" t="inlineStr">
        <is>
          <t>Existing 2-year-old customer does 10 transactions in a day</t>
        </is>
      </c>
      <c r="G27" s="26" t="inlineStr">
        <is>
          <t>Rule not applicable; no alert</t>
        </is>
      </c>
      <c r="H27" s="26" t="inlineStr">
        <is>
          <t>High</t>
        </is>
      </c>
      <c r="I27" s="26" t="inlineStr">
        <is>
          <t>P1</t>
        </is>
      </c>
      <c r="J27" s="28" t="inlineStr">
        <is>
          <t>Pass</t>
        </is>
      </c>
      <c r="K27" s="29" t="inlineStr">
        <is>
          <t>Two-year-old customer with 10 transactions in a day → 0 alerts.</t>
        </is>
      </c>
      <c r="L27" s="29" t="inlineStr">
        <is>
          <t>Claude (automated test suite)</t>
        </is>
      </c>
      <c r="M27" s="29" t="inlineStr">
        <is>
          <t>2026-10-15</t>
        </is>
      </c>
      <c r="N27" s="29" t="n"/>
      <c r="O27" s="29" t="inlineStr">
        <is>
          <t>Automated: ExtendedCapabilityTests.VEL_06_activity_right_after_registration. Blocked in the first execution (capability gap); executable after the rule DSL extension.</t>
        </is>
      </c>
    </row>
    <row r="28" ht="22.35" customHeight="1" s="16">
      <c r="A28" s="26" t="inlineStr">
        <is>
          <t>TM-VEL-06-04</t>
        </is>
      </c>
      <c r="B28" s="26" t="inlineStr">
        <is>
          <t>Velocity &amp; Frequency</t>
        </is>
      </c>
      <c r="C28" s="26" t="inlineStr">
        <is>
          <t>VEL-06</t>
        </is>
      </c>
      <c r="D28" s="26" t="inlineStr">
        <is>
          <t>Many transactions within minutes of account opening</t>
        </is>
      </c>
      <c r="E28" s="26" t="inlineStr">
        <is>
          <t>Edge</t>
        </is>
      </c>
      <c r="F28" s="26" t="inlineStr">
        <is>
          <t>Registration timestamp missing</t>
        </is>
      </c>
      <c r="G28" s="26" t="inlineStr">
        <is>
          <t>Data-quality issue raised; rule records unable-to-evaluate, not silent pass</t>
        </is>
      </c>
      <c r="H28" s="26" t="inlineStr">
        <is>
          <t>High</t>
        </is>
      </c>
      <c r="I28" s="26" t="inlineStr">
        <is>
          <t>P1</t>
        </is>
      </c>
      <c r="J28" s="28" t="inlineStr">
        <is>
          <t>Pass</t>
        </is>
      </c>
      <c r="K28" s="29" t="inlineStr">
        <is>
          <t>Registration date missing → no silent pass: condition not met and data-quality item "[R_9215E93CF89D/customer.accountAgeDays] Rule R_9215E93CF89D v1 could not evaluate 'customer.accountAgeDays' for customer 105: value missing; condition treated as not met (result incomplete). Complete the customer data.".</t>
        </is>
      </c>
      <c r="L28" s="29" t="inlineStr">
        <is>
          <t>Claude (automated test suite)</t>
        </is>
      </c>
      <c r="M28" s="29" t="inlineStr">
        <is>
          <t>2026-10-15</t>
        </is>
      </c>
      <c r="N28" s="29" t="n"/>
      <c r="O28" s="29" t="inlineStr">
        <is>
          <t>Automated: ExtendedCapabilityTests.VEL_06_activity_right_after_registration. Blocked in the first execution (capability gap); executable after the rule DSL extension.</t>
        </is>
      </c>
    </row>
    <row r="29" ht="22.35" customHeight="1" s="16">
      <c r="A29" s="26" t="inlineStr">
        <is>
          <t>TM-VEL-07-01</t>
        </is>
      </c>
      <c r="B29" s="26" t="inlineStr">
        <is>
          <t>Velocity &amp; Frequency</t>
        </is>
      </c>
      <c r="C29" s="26" t="inlineStr">
        <is>
          <t>VEL-07</t>
        </is>
      </c>
      <c r="D29" s="26" t="inlineStr">
        <is>
          <t>Transactions at regular fixed intervals (automation)</t>
        </is>
      </c>
      <c r="E29" s="26" t="inlineStr">
        <is>
          <t>Positive</t>
        </is>
      </c>
      <c r="F29" s="26" t="inlineStr">
        <is>
          <t>12 transfers exactly every 60 seconds (±2s)</t>
        </is>
      </c>
      <c r="G29" s="26" t="inlineStr">
        <is>
          <t>Alert raised as possible scripted activity</t>
        </is>
      </c>
      <c r="H29" s="26" t="inlineStr">
        <is>
          <t>Medium</t>
        </is>
      </c>
      <c r="I29" s="26" t="inlineStr">
        <is>
          <t>P2</t>
        </is>
      </c>
      <c r="J29" s="30" t="inlineStr">
        <is>
          <t>Blocked</t>
        </is>
      </c>
      <c r="K29" s="29" t="inlineStr">
        <is>
          <t>Capability gap — No aggregate for regularity of time gaps (standard deviation of inter-transaction intervals). Closest rule definition rejected by the rule validator: $.condition.aggregate: Unknown aggregate 'intervalStdDev'.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9" s="29" t="inlineStr">
        <is>
          <t>Claude (automated test suite)</t>
        </is>
      </c>
      <c r="M29" s="29" t="inlineStr">
        <is>
          <t>2026-10-15</t>
        </is>
      </c>
      <c r="N29" s="29" t="inlineStr">
        <is>
          <t>GAP-VEL-07</t>
        </is>
      </c>
      <c r="O29" s="29" t="inlineStr">
        <is>
          <t>Automated: CapabilityGapTests.Scenario_not_configurable (rule validator evidence)</t>
        </is>
      </c>
    </row>
    <row r="30" ht="22.35" customHeight="1" s="16">
      <c r="A30" s="26" t="inlineStr">
        <is>
          <t>TM-VEL-07-02</t>
        </is>
      </c>
      <c r="B30" s="26" t="inlineStr">
        <is>
          <t>Velocity &amp; Frequency</t>
        </is>
      </c>
      <c r="C30" s="26" t="inlineStr">
        <is>
          <t>VEL-07</t>
        </is>
      </c>
      <c r="D30" s="26" t="inlineStr">
        <is>
          <t>Transactions at regular fixed intervals (automation)</t>
        </is>
      </c>
      <c r="E30" s="26" t="inlineStr">
        <is>
          <t>Negative</t>
        </is>
      </c>
      <c r="F30" s="26" t="inlineStr">
        <is>
          <t>12 transfers at random intervals</t>
        </is>
      </c>
      <c r="G30" s="26" t="inlineStr">
        <is>
          <t>No alert</t>
        </is>
      </c>
      <c r="H30" s="26" t="inlineStr">
        <is>
          <t>Medium</t>
        </is>
      </c>
      <c r="I30" s="26" t="inlineStr">
        <is>
          <t>P2</t>
        </is>
      </c>
      <c r="J30" s="30" t="inlineStr">
        <is>
          <t>Blocked</t>
        </is>
      </c>
      <c r="K30" s="29" t="inlineStr">
        <is>
          <t>Capability gap — No aggregate for regularity of time gaps (standard deviation of inter-transaction intervals). Closest rule definition rejected by the rule validator: $.condition.aggregate: Unknown aggregate 'intervalStdDev'.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30" s="29" t="inlineStr">
        <is>
          <t>Claude (automated test suite)</t>
        </is>
      </c>
      <c r="M30" s="29" t="inlineStr">
        <is>
          <t>2026-10-15</t>
        </is>
      </c>
      <c r="N30" s="29" t="inlineStr">
        <is>
          <t>GAP-VEL-07</t>
        </is>
      </c>
      <c r="O30" s="29" t="inlineStr">
        <is>
          <t>Automated: CapabilityGapTests.Scenario_not_configurable (rule validator evidence)</t>
        </is>
      </c>
    </row>
    <row r="31" ht="22.35" customHeight="1" s="16">
      <c r="A31" s="26" t="inlineStr">
        <is>
          <t>TM-VEL-07-03</t>
        </is>
      </c>
      <c r="B31" s="26" t="inlineStr">
        <is>
          <t>Velocity &amp; Frequency</t>
        </is>
      </c>
      <c r="C31" s="26" t="inlineStr">
        <is>
          <t>VEL-07</t>
        </is>
      </c>
      <c r="D31" s="26" t="inlineStr">
        <is>
          <t>Transactions at regular fixed intervals (automation)</t>
        </is>
      </c>
      <c r="E31" s="26" t="inlineStr">
        <is>
          <t>Boundary</t>
        </is>
      </c>
      <c r="F31" s="26" t="inlineStr">
        <is>
          <t>9 regular transfers</t>
        </is>
      </c>
      <c r="G31" s="26" t="inlineStr">
        <is>
          <t>No alert</t>
        </is>
      </c>
      <c r="H31" s="26" t="inlineStr">
        <is>
          <t>Medium</t>
        </is>
      </c>
      <c r="I31" s="26" t="inlineStr">
        <is>
          <t>P2</t>
        </is>
      </c>
      <c r="J31" s="30" t="inlineStr">
        <is>
          <t>Blocked</t>
        </is>
      </c>
      <c r="K31" s="29" t="inlineStr">
        <is>
          <t>Capability gap — No aggregate for regularity of time gaps (standard deviation of inter-transaction intervals). Closest rule definition rejected by the rule validator: $.condition.aggregate: Unknown aggregate 'intervalStdDev'.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31" s="29" t="inlineStr">
        <is>
          <t>Claude (automated test suite)</t>
        </is>
      </c>
      <c r="M31" s="29" t="inlineStr">
        <is>
          <t>2026-10-15</t>
        </is>
      </c>
      <c r="N31" s="29" t="inlineStr">
        <is>
          <t>GAP-VEL-07</t>
        </is>
      </c>
      <c r="O31" s="29" t="inlineStr">
        <is>
          <t>Automated: CapabilityGapTests.Scenario_not_configurable (rule validator evidence)</t>
        </is>
      </c>
    </row>
    <row r="32" ht="22.35" customHeight="1" s="16">
      <c r="A32" s="26" t="inlineStr">
        <is>
          <t>TM-VEL-07-04</t>
        </is>
      </c>
      <c r="B32" s="26" t="inlineStr">
        <is>
          <t>Velocity &amp; Frequency</t>
        </is>
      </c>
      <c r="C32" s="26" t="inlineStr">
        <is>
          <t>VEL-07</t>
        </is>
      </c>
      <c r="D32" s="26" t="inlineStr">
        <is>
          <t>Transactions at regular fixed intervals (automation)</t>
        </is>
      </c>
      <c r="E32" s="26" t="inlineStr">
        <is>
          <t>Edge</t>
        </is>
      </c>
      <c r="F32" s="26" t="inlineStr">
        <is>
          <t>Scheduled standing order configured by customer</t>
        </is>
      </c>
      <c r="G32" s="26" t="inlineStr">
        <is>
          <t>Excluded by transaction sub-type; no alert</t>
        </is>
      </c>
      <c r="H32" s="26" t="inlineStr">
        <is>
          <t>Medium</t>
        </is>
      </c>
      <c r="I32" s="26" t="inlineStr">
        <is>
          <t>P2</t>
        </is>
      </c>
      <c r="J32" s="30" t="inlineStr">
        <is>
          <t>Blocked</t>
        </is>
      </c>
      <c r="K32" s="29" t="inlineStr">
        <is>
          <t>Capability gap — No aggregate for regularity of time gaps (standard deviation of inter-transaction intervals). Closest rule definition rejected by the rule validator: $.condition.aggregate: Unknown aggregate 'intervalStdDev'.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32" s="29" t="inlineStr">
        <is>
          <t>Claude (automated test suite)</t>
        </is>
      </c>
      <c r="M32" s="29" t="inlineStr">
        <is>
          <t>2026-10-15</t>
        </is>
      </c>
      <c r="N32" s="29" t="inlineStr">
        <is>
          <t>GAP-VEL-07</t>
        </is>
      </c>
      <c r="O32" s="29" t="inlineStr">
        <is>
          <t>Automated: CapabilityGapTests.Scenario_not_configurable (rule validator evidence)</t>
        </is>
      </c>
    </row>
    <row r="33" ht="15" customHeight="1" s="16">
      <c r="A33" s="26" t="inlineStr">
        <is>
          <t>TM-VEL-08-01</t>
        </is>
      </c>
      <c r="B33" s="26" t="inlineStr">
        <is>
          <t>Velocity &amp; Frequency</t>
        </is>
      </c>
      <c r="C33" s="26" t="inlineStr">
        <is>
          <t>VEL-08</t>
        </is>
      </c>
      <c r="D33" s="26" t="inlineStr">
        <is>
          <t>High count of distinct channels in a day</t>
        </is>
      </c>
      <c r="E33" s="26" t="inlineStr">
        <is>
          <t>Positive</t>
        </is>
      </c>
      <c r="F33" s="26" t="inlineStr">
        <is>
          <t>C6 uses App, Agent, ATM and Web on same day totalling 1,500</t>
        </is>
      </c>
      <c r="G33" s="26" t="inlineStr">
        <is>
          <t>Alert raised</t>
        </is>
      </c>
      <c r="H33" s="26" t="inlineStr">
        <is>
          <t>Low</t>
        </is>
      </c>
      <c r="I33" s="26" t="inlineStr">
        <is>
          <t>P3</t>
        </is>
      </c>
      <c r="J33" s="28" t="inlineStr">
        <is>
          <t>Pass</t>
        </is>
      </c>
      <c r="K33" s="29" t="inlineStr">
        <is>
          <t>App, Agent, ATM and Web on one day totalling 1,500 → 1 alert (distinctCount of channel).</t>
        </is>
      </c>
      <c r="L33" s="29" t="inlineStr">
        <is>
          <t>Claude (automated test suite)</t>
        </is>
      </c>
      <c r="M33" s="29" t="inlineStr">
        <is>
          <t>2026-10-15</t>
        </is>
      </c>
      <c r="N33" s="29" t="n"/>
      <c r="O33" s="29" t="inlineStr">
        <is>
          <t>Automated: ExtendedCapabilityTests.VEL_08_many_channels. Blocked in the first execution (capability gap); executable after the rule DSL extension.</t>
        </is>
      </c>
    </row>
    <row r="34" ht="15" customHeight="1" s="16">
      <c r="A34" s="26" t="inlineStr">
        <is>
          <t>TM-VEL-08-02</t>
        </is>
      </c>
      <c r="B34" s="26" t="inlineStr">
        <is>
          <t>Velocity &amp; Frequency</t>
        </is>
      </c>
      <c r="C34" s="26" t="inlineStr">
        <is>
          <t>VEL-08</t>
        </is>
      </c>
      <c r="D34" s="26" t="inlineStr">
        <is>
          <t>High count of distinct channels in a day</t>
        </is>
      </c>
      <c r="E34" s="26" t="inlineStr">
        <is>
          <t>Negative</t>
        </is>
      </c>
      <c r="F34" s="26" t="inlineStr">
        <is>
          <t>4 channels but total 300</t>
        </is>
      </c>
      <c r="G34" s="26" t="inlineStr">
        <is>
          <t>No alert</t>
        </is>
      </c>
      <c r="H34" s="26" t="inlineStr">
        <is>
          <t>Low</t>
        </is>
      </c>
      <c r="I34" s="26" t="inlineStr">
        <is>
          <t>P3</t>
        </is>
      </c>
      <c r="J34" s="28" t="inlineStr">
        <is>
          <t>Pass</t>
        </is>
      </c>
      <c r="K34" s="29" t="inlineStr">
        <is>
          <t>4 channels, total 300 → 0 alerts.</t>
        </is>
      </c>
      <c r="L34" s="29" t="inlineStr">
        <is>
          <t>Claude (automated test suite)</t>
        </is>
      </c>
      <c r="M34" s="29" t="inlineStr">
        <is>
          <t>2026-10-15</t>
        </is>
      </c>
      <c r="N34" s="29" t="n"/>
      <c r="O34" s="29" t="inlineStr">
        <is>
          <t>Automated: ExtendedCapabilityTests.VEL_08_many_channels. Blocked in the first execution (capability gap); executable after the rule DSL extension.</t>
        </is>
      </c>
    </row>
    <row r="35" ht="15" customHeight="1" s="16">
      <c r="A35" s="26" t="inlineStr">
        <is>
          <t>TM-VEL-08-03</t>
        </is>
      </c>
      <c r="B35" s="26" t="inlineStr">
        <is>
          <t>Velocity &amp; Frequency</t>
        </is>
      </c>
      <c r="C35" s="26" t="inlineStr">
        <is>
          <t>VEL-08</t>
        </is>
      </c>
      <c r="D35" s="26" t="inlineStr">
        <is>
          <t>High count of distinct channels in a day</t>
        </is>
      </c>
      <c r="E35" s="26" t="inlineStr">
        <is>
          <t>Boundary</t>
        </is>
      </c>
      <c r="F35" s="26" t="inlineStr">
        <is>
          <t>3 channels, 2,000 total</t>
        </is>
      </c>
      <c r="G35" s="26" t="inlineStr">
        <is>
          <t>No alert</t>
        </is>
      </c>
      <c r="H35" s="26" t="inlineStr">
        <is>
          <t>Low</t>
        </is>
      </c>
      <c r="I35" s="26" t="inlineStr">
        <is>
          <t>P3</t>
        </is>
      </c>
      <c r="J35" s="28" t="inlineStr">
        <is>
          <t>Pass</t>
        </is>
      </c>
      <c r="K35" s="29" t="inlineStr">
        <is>
          <t>3 channels, total 2,100 → 0 alerts.</t>
        </is>
      </c>
      <c r="L35" s="29" t="inlineStr">
        <is>
          <t>Claude (automated test suite)</t>
        </is>
      </c>
      <c r="M35" s="29" t="inlineStr">
        <is>
          <t>2026-10-15</t>
        </is>
      </c>
      <c r="N35" s="29" t="n"/>
      <c r="O35" s="29" t="inlineStr">
        <is>
          <t>Automated: ExtendedCapabilityTests.VEL_08_many_channels. Blocked in the first execution (capability gap); executable after the rule DSL extension.</t>
        </is>
      </c>
    </row>
    <row r="36" ht="15" customHeight="1" s="16">
      <c r="A36" s="26" t="inlineStr">
        <is>
          <t>TM-AMT-01-01</t>
        </is>
      </c>
      <c r="B36" s="26" t="inlineStr">
        <is>
          <t>Amount &amp; Thresholds</t>
        </is>
      </c>
      <c r="C36" s="26" t="inlineStr">
        <is>
          <t>AMT-01</t>
        </is>
      </c>
      <c r="D36" s="26" t="inlineStr">
        <is>
          <t>Single large transaction</t>
        </is>
      </c>
      <c r="E36" s="26" t="inlineStr">
        <is>
          <t>Positive</t>
        </is>
      </c>
      <c r="F36" s="26" t="inlineStr">
        <is>
          <t>Individual C7 sends 10,000 JOD transfer</t>
        </is>
      </c>
      <c r="G36" s="26" t="inlineStr">
        <is>
          <t>Alert raised</t>
        </is>
      </c>
      <c r="H36" s="26" t="inlineStr">
        <is>
          <t>Medium</t>
        </is>
      </c>
      <c r="I36" s="26" t="inlineStr">
        <is>
          <t>P1</t>
        </is>
      </c>
      <c r="J36" s="28" t="inlineStr">
        <is>
          <t>Pass</t>
        </is>
      </c>
      <c r="K36" s="29" t="inlineStr">
        <is>
          <t>Individual 10,000 JOD transfer → 1 alert.</t>
        </is>
      </c>
      <c r="L36" s="29" t="inlineStr">
        <is>
          <t>Claude (automated test suite)</t>
        </is>
      </c>
      <c r="M36" s="29" t="inlineStr">
        <is>
          <t>2026-10-15</t>
        </is>
      </c>
      <c r="N36" s="29" t="n"/>
      <c r="O36" s="29" t="inlineStr">
        <is>
          <t>Automated: AmountTests.AMT_01_single_large_transaction</t>
        </is>
      </c>
    </row>
    <row r="37" ht="15" customHeight="1" s="16">
      <c r="A37" s="26" t="inlineStr">
        <is>
          <t>TM-AMT-01-02</t>
        </is>
      </c>
      <c r="B37" s="26" t="inlineStr">
        <is>
          <t>Amount &amp; Thresholds</t>
        </is>
      </c>
      <c r="C37" s="26" t="inlineStr">
        <is>
          <t>AMT-01</t>
        </is>
      </c>
      <c r="D37" s="26" t="inlineStr">
        <is>
          <t>Single large transaction</t>
        </is>
      </c>
      <c r="E37" s="26" t="inlineStr">
        <is>
          <t>Boundary</t>
        </is>
      </c>
      <c r="F37" s="26" t="inlineStr">
        <is>
          <t>9,999.999 JOD</t>
        </is>
      </c>
      <c r="G37" s="26" t="inlineStr">
        <is>
          <t>No alert</t>
        </is>
      </c>
      <c r="H37" s="26" t="inlineStr">
        <is>
          <t>Medium</t>
        </is>
      </c>
      <c r="I37" s="26" t="inlineStr">
        <is>
          <t>P1</t>
        </is>
      </c>
      <c r="J37" s="28" t="inlineStr">
        <is>
          <t>Pass</t>
        </is>
      </c>
      <c r="K37" s="29" t="inlineStr">
        <is>
          <t>9,999.999 JOD → 0 alerts (decimal precision preserved).</t>
        </is>
      </c>
      <c r="L37" s="29" t="inlineStr">
        <is>
          <t>Claude (automated test suite)</t>
        </is>
      </c>
      <c r="M37" s="29" t="inlineStr">
        <is>
          <t>2026-10-15</t>
        </is>
      </c>
      <c r="N37" s="29" t="n"/>
      <c r="O37" s="29" t="inlineStr">
        <is>
          <t>Automated: AmountTests.AMT_01_single_large_transaction</t>
        </is>
      </c>
    </row>
    <row r="38" ht="15" customHeight="1" s="16">
      <c r="A38" s="26" t="inlineStr">
        <is>
          <t>TM-AMT-01-03</t>
        </is>
      </c>
      <c r="B38" s="26" t="inlineStr">
        <is>
          <t>Amount &amp; Thresholds</t>
        </is>
      </c>
      <c r="C38" s="26" t="inlineStr">
        <is>
          <t>AMT-01</t>
        </is>
      </c>
      <c r="D38" s="26" t="inlineStr">
        <is>
          <t>Single large transaction</t>
        </is>
      </c>
      <c r="E38" s="26" t="inlineStr">
        <is>
          <t>Positive</t>
        </is>
      </c>
      <c r="F38" s="26" t="inlineStr">
        <is>
          <t>15,000 USD equivalent ≥ threshold after FX conversion</t>
        </is>
      </c>
      <c r="G38" s="26" t="inlineStr">
        <is>
          <t>Alert raised; FX rate in evidence</t>
        </is>
      </c>
      <c r="H38" s="26" t="inlineStr">
        <is>
          <t>Medium</t>
        </is>
      </c>
      <c r="I38" s="26" t="inlineStr">
        <is>
          <t>P1</t>
        </is>
      </c>
      <c r="J38" s="28" t="inlineStr">
        <is>
          <t>Pass</t>
        </is>
      </c>
      <c r="K38" s="29" t="inlineStr">
        <is>
          <t>15,000 USD → base 10,635 JOD → 1 alert; FX rate 0.709 and date in evidence.</t>
        </is>
      </c>
      <c r="L38" s="29" t="inlineStr">
        <is>
          <t>Claude (automated test suite)</t>
        </is>
      </c>
      <c r="M38" s="29" t="inlineStr">
        <is>
          <t>2026-10-15</t>
        </is>
      </c>
      <c r="N38" s="29" t="n"/>
      <c r="O38" s="29" t="inlineStr">
        <is>
          <t>Automated: AmountTests.AMT_01_single_large_transaction</t>
        </is>
      </c>
    </row>
    <row r="39" ht="15" customHeight="1" s="16">
      <c r="A39" s="26" t="inlineStr">
        <is>
          <t>TM-AMT-01-04</t>
        </is>
      </c>
      <c r="B39" s="26" t="inlineStr">
        <is>
          <t>Amount &amp; Thresholds</t>
        </is>
      </c>
      <c r="C39" s="26" t="inlineStr">
        <is>
          <t>AMT-01</t>
        </is>
      </c>
      <c r="D39" s="26" t="inlineStr">
        <is>
          <t>Single large transaction</t>
        </is>
      </c>
      <c r="E39" s="26" t="inlineStr">
        <is>
          <t>Negative</t>
        </is>
      </c>
      <c r="F39" s="26" t="inlineStr">
        <is>
          <t>Corporate sends 20,000</t>
        </is>
      </c>
      <c r="G39" s="26" t="inlineStr">
        <is>
          <t>No alert (corporate threshold)</t>
        </is>
      </c>
      <c r="H39" s="26" t="inlineStr">
        <is>
          <t>Medium</t>
        </is>
      </c>
      <c r="I39" s="26" t="inlineStr">
        <is>
          <t>P1</t>
        </is>
      </c>
      <c r="J39" s="28" t="inlineStr">
        <is>
          <t>Pass</t>
        </is>
      </c>
      <c r="K39" s="29" t="inlineStr">
        <is>
          <t>Corporate 20,000 (corporate threshold 50,000) → 0 alerts.</t>
        </is>
      </c>
      <c r="L39" s="29" t="inlineStr">
        <is>
          <t>Claude (automated test suite)</t>
        </is>
      </c>
      <c r="M39" s="29" t="inlineStr">
        <is>
          <t>2026-10-15</t>
        </is>
      </c>
      <c r="N39" s="29" t="n"/>
      <c r="O39" s="29" t="inlineStr">
        <is>
          <t>Automated: AmountTests.AMT_01_single_large_transaction</t>
        </is>
      </c>
    </row>
    <row r="40" ht="15" customHeight="1" s="16">
      <c r="A40" s="26" t="inlineStr">
        <is>
          <t>TM-AMT-01-05</t>
        </is>
      </c>
      <c r="B40" s="26" t="inlineStr">
        <is>
          <t>Amount &amp; Thresholds</t>
        </is>
      </c>
      <c r="C40" s="26" t="inlineStr">
        <is>
          <t>AMT-01</t>
        </is>
      </c>
      <c r="D40" s="26" t="inlineStr">
        <is>
          <t>Single large transaction</t>
        </is>
      </c>
      <c r="E40" s="26" t="inlineStr">
        <is>
          <t>Edge</t>
        </is>
      </c>
      <c r="F40" s="26" t="inlineStr">
        <is>
          <t>Transaction Pending then Completed</t>
        </is>
      </c>
      <c r="G40" s="26" t="inlineStr">
        <is>
          <t>Alert only once, at configured status</t>
        </is>
      </c>
      <c r="H40" s="26" t="inlineStr">
        <is>
          <t>Medium</t>
        </is>
      </c>
      <c r="I40" s="26" t="inlineStr">
        <is>
          <t>P1</t>
        </is>
      </c>
      <c r="J40" s="28" t="inlineStr">
        <is>
          <t>Pass</t>
        </is>
      </c>
      <c r="K40" s="29" t="inlineStr">
        <is>
          <t>While Pending: 0 alerts; after status update to Completed and two reruns: 1 alert (raised once, at configured status).</t>
        </is>
      </c>
      <c r="L40" s="29" t="inlineStr">
        <is>
          <t>Claude (automated test suite)</t>
        </is>
      </c>
      <c r="M40" s="29" t="inlineStr">
        <is>
          <t>2026-10-15</t>
        </is>
      </c>
      <c r="N40" s="29" t="n"/>
      <c r="O40" s="29" t="inlineStr">
        <is>
          <t>Automated: AmountTests.AMT_01_single_large_transaction</t>
        </is>
      </c>
    </row>
    <row r="41" ht="15" customHeight="1" s="16">
      <c r="A41" s="26" t="inlineStr">
        <is>
          <t>TM-AMT-02-01</t>
        </is>
      </c>
      <c r="B41" s="26" t="inlineStr">
        <is>
          <t>Amount &amp; Thresholds</t>
        </is>
      </c>
      <c r="C41" s="26" t="inlineStr">
        <is>
          <t>AMT-02</t>
        </is>
      </c>
      <c r="D41" s="26" t="inlineStr">
        <is>
          <t>Daily cumulative amount</t>
        </is>
      </c>
      <c r="E41" s="26" t="inlineStr">
        <is>
          <t>Positive</t>
        </is>
      </c>
      <c r="F41" s="26" t="inlineStr">
        <is>
          <t>5 transfers of 1,000 each on same day</t>
        </is>
      </c>
      <c r="G41" s="26" t="inlineStr">
        <is>
          <t>Alert raised on 5th</t>
        </is>
      </c>
      <c r="H41" s="26" t="inlineStr">
        <is>
          <t>Medium</t>
        </is>
      </c>
      <c r="I41" s="26" t="inlineStr">
        <is>
          <t>P1</t>
        </is>
      </c>
      <c r="J41" s="28" t="inlineStr">
        <is>
          <t>Pass</t>
        </is>
      </c>
      <c r="K41" s="29" t="inlineStr">
        <is>
          <t>5 × 1,000 same day → 1 alert raised on the 5th transfer.</t>
        </is>
      </c>
      <c r="L41" s="29" t="inlineStr">
        <is>
          <t>Claude (automated test suite)</t>
        </is>
      </c>
      <c r="M41" s="29" t="inlineStr">
        <is>
          <t>2026-10-15</t>
        </is>
      </c>
      <c r="N41" s="29" t="n"/>
      <c r="O41" s="29" t="inlineStr">
        <is>
          <t>Automated: AmountTests.AMT_02_daily_cumulative</t>
        </is>
      </c>
    </row>
    <row r="42" ht="15" customHeight="1" s="16">
      <c r="A42" s="26" t="inlineStr">
        <is>
          <t>TM-AMT-02-02</t>
        </is>
      </c>
      <c r="B42" s="26" t="inlineStr">
        <is>
          <t>Amount &amp; Thresholds</t>
        </is>
      </c>
      <c r="C42" s="26" t="inlineStr">
        <is>
          <t>AMT-02</t>
        </is>
      </c>
      <c r="D42" s="26" t="inlineStr">
        <is>
          <t>Daily cumulative amount</t>
        </is>
      </c>
      <c r="E42" s="26" t="inlineStr">
        <is>
          <t>Boundary</t>
        </is>
      </c>
      <c r="F42" s="26" t="inlineStr">
        <is>
          <t>Total 4,999.99</t>
        </is>
      </c>
      <c r="G42" s="26" t="inlineStr">
        <is>
          <t>No alert</t>
        </is>
      </c>
      <c r="H42" s="26" t="inlineStr">
        <is>
          <t>Medium</t>
        </is>
      </c>
      <c r="I42" s="26" t="inlineStr">
        <is>
          <t>P1</t>
        </is>
      </c>
      <c r="J42" s="28" t="inlineStr">
        <is>
          <t>Pass</t>
        </is>
      </c>
      <c r="K42" s="29" t="inlineStr">
        <is>
          <t>Total 4,999.99 → 0 alerts.</t>
        </is>
      </c>
      <c r="L42" s="29" t="inlineStr">
        <is>
          <t>Claude (automated test suite)</t>
        </is>
      </c>
      <c r="M42" s="29" t="inlineStr">
        <is>
          <t>2026-10-15</t>
        </is>
      </c>
      <c r="N42" s="29" t="n"/>
      <c r="O42" s="29" t="inlineStr">
        <is>
          <t>Automated: AmountTests.AMT_02_daily_cumulative</t>
        </is>
      </c>
    </row>
    <row r="43" ht="15" customHeight="1" s="16">
      <c r="A43" s="26" t="inlineStr">
        <is>
          <t>TM-AMT-02-03</t>
        </is>
      </c>
      <c r="B43" s="26" t="inlineStr">
        <is>
          <t>Amount &amp; Thresholds</t>
        </is>
      </c>
      <c r="C43" s="26" t="inlineStr">
        <is>
          <t>AMT-02</t>
        </is>
      </c>
      <c r="D43" s="26" t="inlineStr">
        <is>
          <t>Daily cumulative amount</t>
        </is>
      </c>
      <c r="E43" s="26" t="inlineStr">
        <is>
          <t>Negative</t>
        </is>
      </c>
      <c r="F43" s="26" t="inlineStr">
        <is>
          <t>3,000 on day 1 and 3,000 on day 2</t>
        </is>
      </c>
      <c r="G43" s="26" t="inlineStr">
        <is>
          <t>No alert for daily rule</t>
        </is>
      </c>
      <c r="H43" s="26" t="inlineStr">
        <is>
          <t>Medium</t>
        </is>
      </c>
      <c r="I43" s="26" t="inlineStr">
        <is>
          <t>P1</t>
        </is>
      </c>
      <c r="J43" s="28" t="inlineStr">
        <is>
          <t>Pass</t>
        </is>
      </c>
      <c r="K43" s="29" t="inlineStr">
        <is>
          <t>3,000 on day 1 and 3,000 on day 2 → 0 alerts.</t>
        </is>
      </c>
      <c r="L43" s="29" t="inlineStr">
        <is>
          <t>Claude (automated test suite)</t>
        </is>
      </c>
      <c r="M43" s="29" t="inlineStr">
        <is>
          <t>2026-10-15</t>
        </is>
      </c>
      <c r="N43" s="29" t="n"/>
      <c r="O43" s="29" t="inlineStr">
        <is>
          <t>Automated: AmountTests.AMT_02_daily_cumulative</t>
        </is>
      </c>
    </row>
    <row r="44" ht="15" customHeight="1" s="16">
      <c r="A44" s="26" t="inlineStr">
        <is>
          <t>TM-AMT-02-04</t>
        </is>
      </c>
      <c r="B44" s="26" t="inlineStr">
        <is>
          <t>Amount &amp; Thresholds</t>
        </is>
      </c>
      <c r="C44" s="26" t="inlineStr">
        <is>
          <t>AMT-02</t>
        </is>
      </c>
      <c r="D44" s="26" t="inlineStr">
        <is>
          <t>Daily cumulative amount</t>
        </is>
      </c>
      <c r="E44" s="26" t="inlineStr">
        <is>
          <t>Edge</t>
        </is>
      </c>
      <c r="F44" s="26" t="inlineStr">
        <is>
          <t>Mixed currencies 2,000 JOD + 4,300 USD</t>
        </is>
      </c>
      <c r="G44" s="26" t="inlineStr">
        <is>
          <t>Converted to JOD; alert if ≥ 5,000</t>
        </is>
      </c>
      <c r="H44" s="26" t="inlineStr">
        <is>
          <t>Medium</t>
        </is>
      </c>
      <c r="I44" s="26" t="inlineStr">
        <is>
          <t>P1</t>
        </is>
      </c>
      <c r="J44" s="28" t="inlineStr">
        <is>
          <t>Pass</t>
        </is>
      </c>
      <c r="K44" s="29" t="inlineStr">
        <is>
          <t>2,000 JOD + 4,300 USD (=3,048.70 JOD at 0.709) = 5,048.70 JOD → 1 alert.</t>
        </is>
      </c>
      <c r="L44" s="29" t="inlineStr">
        <is>
          <t>Claude (automated test suite)</t>
        </is>
      </c>
      <c r="M44" s="29" t="inlineStr">
        <is>
          <t>2026-10-15</t>
        </is>
      </c>
      <c r="N44" s="29" t="n"/>
      <c r="O44" s="29" t="inlineStr">
        <is>
          <t>Automated: AmountTests.AMT_02_daily_cumulative</t>
        </is>
      </c>
    </row>
    <row r="45" ht="22.35" customHeight="1" s="16">
      <c r="A45" s="26" t="inlineStr">
        <is>
          <t>TM-AMT-03-01</t>
        </is>
      </c>
      <c r="B45" s="26" t="inlineStr">
        <is>
          <t>Amount &amp; Thresholds</t>
        </is>
      </c>
      <c r="C45" s="26" t="inlineStr">
        <is>
          <t>AMT-03</t>
        </is>
      </c>
      <c r="D45" s="26" t="inlineStr">
        <is>
          <t>Monthly cumulative amount vs declared income</t>
        </is>
      </c>
      <c r="E45" s="26" t="inlineStr">
        <is>
          <t>Positive</t>
        </is>
      </c>
      <c r="F45" s="26" t="inlineStr">
        <is>
          <t>Declared income 500; receives 1,600 in a month</t>
        </is>
      </c>
      <c r="G45" s="26" t="inlineStr">
        <is>
          <t>Alert raised; declared income and version in evidence</t>
        </is>
      </c>
      <c r="H45" s="26" t="inlineStr">
        <is>
          <t>High</t>
        </is>
      </c>
      <c r="I45" s="26" t="inlineStr">
        <is>
          <t>P1</t>
        </is>
      </c>
      <c r="J45" s="28" t="inlineStr">
        <is>
          <t>Pass</t>
        </is>
      </c>
      <c r="K45" s="29" t="inlineStr">
        <is>
          <t>Declared income 500, received 1,600 in the month (3.2×) → 1 alert; declared income value and profile field in evidence (financial-profile version is effective-dated; version number itself not written to evidence).</t>
        </is>
      </c>
      <c r="L45" s="29" t="inlineStr">
        <is>
          <t>Claude (automated test suite)</t>
        </is>
      </c>
      <c r="M45" s="29" t="inlineStr">
        <is>
          <t>2026-10-15</t>
        </is>
      </c>
      <c r="N45" s="29" t="n"/>
      <c r="O45" s="29" t="inlineStr">
        <is>
          <t>Automated: AmountTests.AMT_03_monthly_income_multiple</t>
        </is>
      </c>
    </row>
    <row r="46" ht="22.35" customHeight="1" s="16">
      <c r="A46" s="26" t="inlineStr">
        <is>
          <t>TM-AMT-03-02</t>
        </is>
      </c>
      <c r="B46" s="26" t="inlineStr">
        <is>
          <t>Amount &amp; Thresholds</t>
        </is>
      </c>
      <c r="C46" s="26" t="inlineStr">
        <is>
          <t>AMT-03</t>
        </is>
      </c>
      <c r="D46" s="26" t="inlineStr">
        <is>
          <t>Monthly cumulative amount vs declared income</t>
        </is>
      </c>
      <c r="E46" s="26" t="inlineStr">
        <is>
          <t>Boundary</t>
        </is>
      </c>
      <c r="F46" s="26" t="inlineStr">
        <is>
          <t>Receives exactly 1,500</t>
        </is>
      </c>
      <c r="G46" s="26" t="inlineStr">
        <is>
          <t>No alert (strictly greater)</t>
        </is>
      </c>
      <c r="H46" s="26" t="inlineStr">
        <is>
          <t>High</t>
        </is>
      </c>
      <c r="I46" s="26" t="inlineStr">
        <is>
          <t>P1</t>
        </is>
      </c>
      <c r="J46" s="28" t="inlineStr">
        <is>
          <t>Pass</t>
        </is>
      </c>
      <c r="K46" s="29" t="inlineStr">
        <is>
          <t>Received exactly 1,500 (3.0×, rule is strictly greater) → 0 alerts.</t>
        </is>
      </c>
      <c r="L46" s="29" t="inlineStr">
        <is>
          <t>Claude (automated test suite)</t>
        </is>
      </c>
      <c r="M46" s="29" t="inlineStr">
        <is>
          <t>2026-10-15</t>
        </is>
      </c>
      <c r="N46" s="29" t="n"/>
      <c r="O46" s="29" t="inlineStr">
        <is>
          <t>Automated: AmountTests.AMT_03_monthly_income_multiple</t>
        </is>
      </c>
    </row>
    <row r="47" ht="22.35" customHeight="1" s="16">
      <c r="A47" s="26" t="inlineStr">
        <is>
          <t>TM-AMT-03-03</t>
        </is>
      </c>
      <c r="B47" s="26" t="inlineStr">
        <is>
          <t>Amount &amp; Thresholds</t>
        </is>
      </c>
      <c r="C47" s="26" t="inlineStr">
        <is>
          <t>AMT-03</t>
        </is>
      </c>
      <c r="D47" s="26" t="inlineStr">
        <is>
          <t>Monthly cumulative amount vs declared income</t>
        </is>
      </c>
      <c r="E47" s="26" t="inlineStr">
        <is>
          <t>Negative</t>
        </is>
      </c>
      <c r="F47" s="26" t="inlineStr">
        <is>
          <t>Declared income 2,000; receives 4,000</t>
        </is>
      </c>
      <c r="G47" s="26" t="inlineStr">
        <is>
          <t>No alert</t>
        </is>
      </c>
      <c r="H47" s="26" t="inlineStr">
        <is>
          <t>High</t>
        </is>
      </c>
      <c r="I47" s="26" t="inlineStr">
        <is>
          <t>P1</t>
        </is>
      </c>
      <c r="J47" s="28" t="inlineStr">
        <is>
          <t>Pass</t>
        </is>
      </c>
      <c r="K47" s="29" t="inlineStr">
        <is>
          <t>Income 2,000, received 4,000 (2×) → 0 alerts.</t>
        </is>
      </c>
      <c r="L47" s="29" t="inlineStr">
        <is>
          <t>Claude (automated test suite)</t>
        </is>
      </c>
      <c r="M47" s="29" t="inlineStr">
        <is>
          <t>2026-10-15</t>
        </is>
      </c>
      <c r="N47" s="29" t="n"/>
      <c r="O47" s="29" t="inlineStr">
        <is>
          <t>Automated: AmountTests.AMT_03_monthly_income_multiple</t>
        </is>
      </c>
    </row>
    <row r="48" ht="22.35" customHeight="1" s="16">
      <c r="A48" s="26" t="inlineStr">
        <is>
          <t>TM-AMT-03-04</t>
        </is>
      </c>
      <c r="B48" s="26" t="inlineStr">
        <is>
          <t>Amount &amp; Thresholds</t>
        </is>
      </c>
      <c r="C48" s="26" t="inlineStr">
        <is>
          <t>AMT-03</t>
        </is>
      </c>
      <c r="D48" s="26" t="inlineStr">
        <is>
          <t>Monthly cumulative amount vs declared income</t>
        </is>
      </c>
      <c r="E48" s="26" t="inlineStr">
        <is>
          <t>Edge</t>
        </is>
      </c>
      <c r="F48" s="26" t="inlineStr">
        <is>
          <t>Declared income missing</t>
        </is>
      </c>
      <c r="G48" s="26" t="inlineStr">
        <is>
          <t>Missing data recorded; alert type 'profile incomplete' per configuration, not silent pass</t>
        </is>
      </c>
      <c r="H48" s="26" t="inlineStr">
        <is>
          <t>High</t>
        </is>
      </c>
      <c r="I48" s="26" t="inlineStr">
        <is>
          <t>P1</t>
        </is>
      </c>
      <c r="J48" s="28" t="inlineStr">
        <is>
          <t>Pass</t>
        </is>
      </c>
      <c r="K48" s="29" t="inlineStr">
        <is>
          <t>Declared income missing → 0 alerts; condition treated as not met and data-quality item raised: "[R_9D2264D830AF/profile.declaredMonthlyIncome] Rule R_9D2264D830AF v1 could not evaluate 'profile.declaredMonthlyIncome' for customer 404: value missing; condition treated as not met (result incomplete). Complete the customer data." (execution status Succeeded).</t>
        </is>
      </c>
      <c r="L48" s="29" t="inlineStr">
        <is>
          <t>Claude (automated test suite)</t>
        </is>
      </c>
      <c r="M48" s="29" t="inlineStr">
        <is>
          <t>2026-10-15</t>
        </is>
      </c>
      <c r="N48" s="29" t="inlineStr">
        <is>
          <t>DEF-TM-02 (fixed)</t>
        </is>
      </c>
      <c r="O48" s="29" t="inlineStr">
        <is>
          <t>Automated: AmountTests.AMT_03_monthly_income_multiple. Failed in the first execution (DEF-TM-02: Missing profile/attribute data silently evaluated as no-match); fixed: Missing inputs raise RuleInputMissing data-quality items (result incomplete); re-tested 2026-10-15.</t>
        </is>
      </c>
    </row>
    <row r="49" ht="22.35" customHeight="1" s="16">
      <c r="A49" s="26" t="inlineStr">
        <is>
          <t>TM-AMT-03-05</t>
        </is>
      </c>
      <c r="B49" s="26" t="inlineStr">
        <is>
          <t>Amount &amp; Thresholds</t>
        </is>
      </c>
      <c r="C49" s="26" t="inlineStr">
        <is>
          <t>AMT-03</t>
        </is>
      </c>
      <c r="D49" s="26" t="inlineStr">
        <is>
          <t>Monthly cumulative amount vs declared income</t>
        </is>
      </c>
      <c r="E49" s="26" t="inlineStr">
        <is>
          <t>Edge</t>
        </is>
      </c>
      <c r="F49" s="26" t="inlineStr">
        <is>
          <t>Income updated mid-month</t>
        </is>
      </c>
      <c r="G49" s="26" t="inlineStr">
        <is>
          <t>Uses effective-dated value per documented rule</t>
        </is>
      </c>
      <c r="H49" s="26" t="inlineStr">
        <is>
          <t>High</t>
        </is>
      </c>
      <c r="I49" s="26" t="inlineStr">
        <is>
          <t>P1</t>
        </is>
      </c>
      <c r="J49" s="28" t="inlineStr">
        <is>
          <t>Pass</t>
        </is>
      </c>
      <c r="K49" s="29" t="inlineStr">
        <is>
          <t>Income changed 500→2,000 on 15 Mar; 1,600 received → evaluated against the value effective at each transaction time (documented rule) → 1,600/2,000 = 0.8 at month total → 0 alerts.</t>
        </is>
      </c>
      <c r="L49" s="29" t="inlineStr">
        <is>
          <t>Claude (automated test suite)</t>
        </is>
      </c>
      <c r="M49" s="29" t="inlineStr">
        <is>
          <t>2026-10-15</t>
        </is>
      </c>
      <c r="N49" s="29" t="n"/>
      <c r="O49" s="29" t="inlineStr">
        <is>
          <t>Automated: AmountTests.AMT_03_monthly_income_multiple</t>
        </is>
      </c>
    </row>
    <row r="50" ht="22.35" customHeight="1" s="16">
      <c r="A50" s="26" t="inlineStr">
        <is>
          <t>TM-AMT-04-01</t>
        </is>
      </c>
      <c r="B50" s="26" t="inlineStr">
        <is>
          <t>Amount &amp; Thresholds</t>
        </is>
      </c>
      <c r="C50" s="26" t="inlineStr">
        <is>
          <t>AMT-04</t>
        </is>
      </c>
      <c r="D50" s="26" t="inlineStr">
        <is>
          <t>Transaction amount vs expected activity in KYC</t>
        </is>
      </c>
      <c r="E50" s="26" t="inlineStr">
        <is>
          <t>Positive</t>
        </is>
      </c>
      <c r="F50" s="26" t="inlineStr">
        <is>
          <t>Expected 1,000/month; actual 3,100</t>
        </is>
      </c>
      <c r="G50" s="26" t="inlineStr">
        <is>
          <t>Alert raised</t>
        </is>
      </c>
      <c r="H50" s="26" t="inlineStr">
        <is>
          <t>Medium</t>
        </is>
      </c>
      <c r="I50" s="26" t="inlineStr">
        <is>
          <t>P1</t>
        </is>
      </c>
      <c r="J50" s="28" t="inlineStr">
        <is>
          <t>Pass</t>
        </is>
      </c>
      <c r="K50" s="29" t="inlineStr">
        <is>
          <t>Expected 1,000/month, actual 3,100 (&gt;200% above) → 1 alert.</t>
        </is>
      </c>
      <c r="L50" s="29" t="inlineStr">
        <is>
          <t>Claude (automated test suite)</t>
        </is>
      </c>
      <c r="M50" s="29" t="inlineStr">
        <is>
          <t>2026-10-15</t>
        </is>
      </c>
      <c r="N50" s="29" t="n"/>
      <c r="O50" s="29" t="inlineStr">
        <is>
          <t>Automated: AmountTests.AMT_04_expected_activity</t>
        </is>
      </c>
    </row>
    <row r="51" ht="22.35" customHeight="1" s="16">
      <c r="A51" s="26" t="inlineStr">
        <is>
          <t>TM-AMT-04-02</t>
        </is>
      </c>
      <c r="B51" s="26" t="inlineStr">
        <is>
          <t>Amount &amp; Thresholds</t>
        </is>
      </c>
      <c r="C51" s="26" t="inlineStr">
        <is>
          <t>AMT-04</t>
        </is>
      </c>
      <c r="D51" s="26" t="inlineStr">
        <is>
          <t>Transaction amount vs expected activity in KYC</t>
        </is>
      </c>
      <c r="E51" s="26" t="inlineStr">
        <is>
          <t>Boundary</t>
        </is>
      </c>
      <c r="F51" s="26" t="inlineStr">
        <is>
          <t>Actual 3,000</t>
        </is>
      </c>
      <c r="G51" s="26" t="inlineStr">
        <is>
          <t>No alert (200% exactly is not exceeded)</t>
        </is>
      </c>
      <c r="H51" s="26" t="inlineStr">
        <is>
          <t>Medium</t>
        </is>
      </c>
      <c r="I51" s="26" t="inlineStr">
        <is>
          <t>P1</t>
        </is>
      </c>
      <c r="J51" s="28" t="inlineStr">
        <is>
          <t>Pass</t>
        </is>
      </c>
      <c r="K51" s="29" t="inlineStr">
        <is>
          <t>Actual 3,000 (exactly 200% above, not exceeded) → 0 alerts.</t>
        </is>
      </c>
      <c r="L51" s="29" t="inlineStr">
        <is>
          <t>Claude (automated test suite)</t>
        </is>
      </c>
      <c r="M51" s="29" t="inlineStr">
        <is>
          <t>2026-10-15</t>
        </is>
      </c>
      <c r="N51" s="29" t="n"/>
      <c r="O51" s="29" t="inlineStr">
        <is>
          <t>Automated: AmountTests.AMT_04_expected_activity</t>
        </is>
      </c>
    </row>
    <row r="52" ht="22.35" customHeight="1" s="16">
      <c r="A52" s="26" t="inlineStr">
        <is>
          <t>TM-AMT-04-03</t>
        </is>
      </c>
      <c r="B52" s="26" t="inlineStr">
        <is>
          <t>Amount &amp; Thresholds</t>
        </is>
      </c>
      <c r="C52" s="26" t="inlineStr">
        <is>
          <t>AMT-04</t>
        </is>
      </c>
      <c r="D52" s="26" t="inlineStr">
        <is>
          <t>Transaction amount vs expected activity in KYC</t>
        </is>
      </c>
      <c r="E52" s="26" t="inlineStr">
        <is>
          <t>Negative</t>
        </is>
      </c>
      <c r="F52" s="26" t="inlineStr">
        <is>
          <t>Actual 2,500</t>
        </is>
      </c>
      <c r="G52" s="26" t="inlineStr">
        <is>
          <t>No alert</t>
        </is>
      </c>
      <c r="H52" s="26" t="inlineStr">
        <is>
          <t>Medium</t>
        </is>
      </c>
      <c r="I52" s="26" t="inlineStr">
        <is>
          <t>P1</t>
        </is>
      </c>
      <c r="J52" s="28" t="inlineStr">
        <is>
          <t>Pass</t>
        </is>
      </c>
      <c r="K52" s="29" t="inlineStr">
        <is>
          <t>Actual 2,500 → 0 alerts.</t>
        </is>
      </c>
      <c r="L52" s="29" t="inlineStr">
        <is>
          <t>Claude (automated test suite)</t>
        </is>
      </c>
      <c r="M52" s="29" t="inlineStr">
        <is>
          <t>2026-10-15</t>
        </is>
      </c>
      <c r="N52" s="29" t="n"/>
      <c r="O52" s="29" t="inlineStr">
        <is>
          <t>Automated: AmountTests.AMT_04_expected_activity</t>
        </is>
      </c>
    </row>
    <row r="53" ht="22.35" customHeight="1" s="16">
      <c r="A53" s="26" t="inlineStr">
        <is>
          <t>TM-AMT-04-04</t>
        </is>
      </c>
      <c r="B53" s="26" t="inlineStr">
        <is>
          <t>Amount &amp; Thresholds</t>
        </is>
      </c>
      <c r="C53" s="26" t="inlineStr">
        <is>
          <t>AMT-04</t>
        </is>
      </c>
      <c r="D53" s="26" t="inlineStr">
        <is>
          <t>Transaction amount vs expected activity in KYC</t>
        </is>
      </c>
      <c r="E53" s="26" t="inlineStr">
        <is>
          <t>Edge</t>
        </is>
      </c>
      <c r="F53" s="26" t="inlineStr">
        <is>
          <t>Customer with EDD and approved higher expectation</t>
        </is>
      </c>
      <c r="G53" s="26" t="inlineStr">
        <is>
          <t>Uses latest approved expectation</t>
        </is>
      </c>
      <c r="H53" s="26" t="inlineStr">
        <is>
          <t>Medium</t>
        </is>
      </c>
      <c r="I53" s="26" t="inlineStr">
        <is>
          <t>P1</t>
        </is>
      </c>
      <c r="J53" s="28" t="inlineStr">
        <is>
          <t>Pass</t>
        </is>
      </c>
      <c r="K53" s="29" t="inlineStr">
        <is>
          <t>EDD-approved higher expectation 5,000 (latest effective profile) used; 3,100 → 0 alerts.</t>
        </is>
      </c>
      <c r="L53" s="29" t="inlineStr">
        <is>
          <t>Claude (automated test suite)</t>
        </is>
      </c>
      <c r="M53" s="29" t="inlineStr">
        <is>
          <t>2026-10-15</t>
        </is>
      </c>
      <c r="N53" s="29" t="n"/>
      <c r="O53" s="29" t="inlineStr">
        <is>
          <t>Automated: AmountTests.AMT_04_expected_activity</t>
        </is>
      </c>
    </row>
    <row r="54" ht="15" customHeight="1" s="16">
      <c r="A54" s="26" t="inlineStr">
        <is>
          <t>TM-AMT-05-01</t>
        </is>
      </c>
      <c r="B54" s="26" t="inlineStr">
        <is>
          <t>Amount &amp; Thresholds</t>
        </is>
      </c>
      <c r="C54" s="26" t="inlineStr">
        <is>
          <t>AMT-05</t>
        </is>
      </c>
      <c r="D54" s="26" t="inlineStr">
        <is>
          <t>Deviation from own historical average</t>
        </is>
      </c>
      <c r="E54" s="26" t="inlineStr">
        <is>
          <t>Positive</t>
        </is>
      </c>
      <c r="F54" s="26" t="inlineStr">
        <is>
          <t>Average weekly outflow 200; this week 1,200</t>
        </is>
      </c>
      <c r="G54" s="26" t="inlineStr">
        <is>
          <t>Alert raised; baseline in evidence</t>
        </is>
      </c>
      <c r="H54" s="26" t="inlineStr">
        <is>
          <t>Medium</t>
        </is>
      </c>
      <c r="I54" s="26" t="inlineStr">
        <is>
          <t>P1</t>
        </is>
      </c>
      <c r="J54" s="28" t="inlineStr">
        <is>
          <t>Pass</t>
        </is>
      </c>
      <c r="K54" s="29" t="inlineStr">
        <is>
          <t>Average weekly outflow 200 (12 weeks), this week 1,200 (6×) → 1 alert; baseline (historical average, history sum, lookback) in evidence.</t>
        </is>
      </c>
      <c r="L54" s="29" t="inlineStr">
        <is>
          <t>Claude (automated test suite)</t>
        </is>
      </c>
      <c r="M54" s="29" t="inlineStr">
        <is>
          <t>2026-10-15</t>
        </is>
      </c>
      <c r="N54" s="29" t="n"/>
      <c r="O54" s="29" t="inlineStr">
        <is>
          <t>Automated: ExtendedCapabilityTests.AMT_05_deviation_from_own_average. Blocked in the first execution (capability gap); executable after the rule DSL extension.</t>
        </is>
      </c>
    </row>
    <row r="55" ht="15" customHeight="1" s="16">
      <c r="A55" s="26" t="inlineStr">
        <is>
          <t>TM-AMT-05-02</t>
        </is>
      </c>
      <c r="B55" s="26" t="inlineStr">
        <is>
          <t>Amount &amp; Thresholds</t>
        </is>
      </c>
      <c r="C55" s="26" t="inlineStr">
        <is>
          <t>AMT-05</t>
        </is>
      </c>
      <c r="D55" s="26" t="inlineStr">
        <is>
          <t>Deviation from own historical average</t>
        </is>
      </c>
      <c r="E55" s="26" t="inlineStr">
        <is>
          <t>Boundary</t>
        </is>
      </c>
      <c r="F55" s="26" t="inlineStr">
        <is>
          <t>This week 1,000 (exactly 5×)</t>
        </is>
      </c>
      <c r="G55" s="26" t="inlineStr">
        <is>
          <t>Alert per ≥ configuration</t>
        </is>
      </c>
      <c r="H55" s="26" t="inlineStr">
        <is>
          <t>Medium</t>
        </is>
      </c>
      <c r="I55" s="26" t="inlineStr">
        <is>
          <t>P1</t>
        </is>
      </c>
      <c r="J55" s="28" t="inlineStr">
        <is>
          <t>Pass</t>
        </is>
      </c>
      <c r="K55" s="29" t="inlineStr">
        <is>
          <t>This week 1,000 = exactly 5× → 1 alert (operator gte).</t>
        </is>
      </c>
      <c r="L55" s="29" t="inlineStr">
        <is>
          <t>Claude (automated test suite)</t>
        </is>
      </c>
      <c r="M55" s="29" t="inlineStr">
        <is>
          <t>2026-10-15</t>
        </is>
      </c>
      <c r="N55" s="29" t="n"/>
      <c r="O55" s="29" t="inlineStr">
        <is>
          <t>Automated: ExtendedCapabilityTests.AMT_05_deviation_from_own_average. Blocked in the first execution (capability gap); executable after the rule DSL extension.</t>
        </is>
      </c>
    </row>
    <row r="56" ht="15" customHeight="1" s="16">
      <c r="A56" s="26" t="inlineStr">
        <is>
          <t>TM-AMT-05-03</t>
        </is>
      </c>
      <c r="B56" s="26" t="inlineStr">
        <is>
          <t>Amount &amp; Thresholds</t>
        </is>
      </c>
      <c r="C56" s="26" t="inlineStr">
        <is>
          <t>AMT-05</t>
        </is>
      </c>
      <c r="D56" s="26" t="inlineStr">
        <is>
          <t>Deviation from own historical average</t>
        </is>
      </c>
      <c r="E56" s="26" t="inlineStr">
        <is>
          <t>Negative</t>
        </is>
      </c>
      <c r="F56" s="26" t="inlineStr">
        <is>
          <t>Customer with 10 days of history</t>
        </is>
      </c>
      <c r="G56" s="26" t="inlineStr">
        <is>
          <t>Rule not applied (insufficient history); recorded as not evaluated</t>
        </is>
      </c>
      <c r="H56" s="26" t="inlineStr">
        <is>
          <t>Medium</t>
        </is>
      </c>
      <c r="I56" s="26" t="inlineStr">
        <is>
          <t>P1</t>
        </is>
      </c>
      <c r="J56" s="28" t="inlineStr">
        <is>
          <t>Pass</t>
        </is>
      </c>
      <c r="K56" s="29" t="inlineStr">
        <is>
          <t>Customer with 10 days of history and a 2,000 week → 0 alerts; rule applicability (accountAgeDays ≥ 30) not met, recorded in the execution result as not applicable: True.</t>
        </is>
      </c>
      <c r="L56" s="29" t="inlineStr">
        <is>
          <t>Claude (automated test suite)</t>
        </is>
      </c>
      <c r="M56" s="29" t="inlineStr">
        <is>
          <t>2026-10-15</t>
        </is>
      </c>
      <c r="N56" s="29" t="n"/>
      <c r="O56" s="29" t="inlineStr">
        <is>
          <t>Automated: ExtendedCapabilityTests.AMT_05_deviation_from_own_average. Blocked in the first execution (capability gap); executable after the rule DSL extension.</t>
        </is>
      </c>
    </row>
    <row r="57" ht="15" customHeight="1" s="16">
      <c r="A57" s="26" t="inlineStr">
        <is>
          <t>TM-AMT-05-04</t>
        </is>
      </c>
      <c r="B57" s="26" t="inlineStr">
        <is>
          <t>Amount &amp; Thresholds</t>
        </is>
      </c>
      <c r="C57" s="26" t="inlineStr">
        <is>
          <t>AMT-05</t>
        </is>
      </c>
      <c r="D57" s="26" t="inlineStr">
        <is>
          <t>Deviation from own historical average</t>
        </is>
      </c>
      <c r="E57" s="26" t="inlineStr">
        <is>
          <t>Edge</t>
        </is>
      </c>
      <c r="F57" s="26" t="inlineStr">
        <is>
          <t>Baseline 0 (no prior activity)</t>
        </is>
      </c>
      <c r="G57" s="26" t="inlineStr">
        <is>
          <t>No divide-by-zero; handled by dormant rule instead</t>
        </is>
      </c>
      <c r="H57" s="26" t="inlineStr">
        <is>
          <t>Medium</t>
        </is>
      </c>
      <c r="I57" s="26" t="inlineStr">
        <is>
          <t>P1</t>
        </is>
      </c>
      <c r="J57" s="28" t="inlineStr">
        <is>
          <t>Pass</t>
        </is>
      </c>
      <c r="K57" s="29" t="inlineStr">
        <is>
          <t>Baseline 0 (no prior activity), 2,000 this week → 0 alerts; ratio undefined (no divide-by-zero, execution succeeded); first-time activity is covered by the dormancy/new-account rules.</t>
        </is>
      </c>
      <c r="L57" s="29" t="inlineStr">
        <is>
          <t>Claude (automated test suite)</t>
        </is>
      </c>
      <c r="M57" s="29" t="inlineStr">
        <is>
          <t>2026-10-15</t>
        </is>
      </c>
      <c r="N57" s="29" t="n"/>
      <c r="O57" s="29" t="inlineStr">
        <is>
          <t>Automated: ExtendedCapabilityTests.AMT_05_deviation_from_own_average. Blocked in the first execution (capability gap); executable after the rule DSL extension.</t>
        </is>
      </c>
    </row>
    <row r="58" ht="15" customHeight="1" s="16">
      <c r="A58" s="26" t="inlineStr">
        <is>
          <t>TM-AMT-06-01</t>
        </is>
      </c>
      <c r="B58" s="26" t="inlineStr">
        <is>
          <t>Amount &amp; Thresholds</t>
        </is>
      </c>
      <c r="C58" s="26" t="inlineStr">
        <is>
          <t>AMT-06</t>
        </is>
      </c>
      <c r="D58" s="26" t="inlineStr">
        <is>
          <t>Deviation from peer group</t>
        </is>
      </c>
      <c r="E58" s="26" t="inlineStr">
        <is>
          <t>Positive</t>
        </is>
      </c>
      <c r="F58" s="26" t="inlineStr">
        <is>
          <t>Student segment customer at 99.5th percentile of monthly volume</t>
        </is>
      </c>
      <c r="G58" s="26" t="inlineStr">
        <is>
          <t>Alert raised; peer statistics in evidence</t>
        </is>
      </c>
      <c r="H58" s="26" t="inlineStr">
        <is>
          <t>Medium</t>
        </is>
      </c>
      <c r="I58" s="26" t="inlineStr">
        <is>
          <t>P2</t>
        </is>
      </c>
      <c r="J58" s="30" t="inlineStr">
        <is>
          <t>Blocked</t>
        </is>
      </c>
      <c r="K58" s="29" t="inlineStr">
        <is>
          <t>Capability gap — peerRatio compares with the peer median of agent-processed volume only; no percentile, segment or minimum peer-group size. Closest rule definition rejected by the rule validator: $.condition.aggregate: Unknown aggregate 'peerPercentile'.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58" s="29" t="inlineStr">
        <is>
          <t>Claude (automated test suite)</t>
        </is>
      </c>
      <c r="M58" s="29" t="inlineStr">
        <is>
          <t>2026-10-15</t>
        </is>
      </c>
      <c r="N58" s="29" t="inlineStr">
        <is>
          <t>GAP-AMT-06</t>
        </is>
      </c>
      <c r="O58" s="29" t="inlineStr">
        <is>
          <t>Automated: CapabilityGapTests.Scenario_not_configurable (rule validator evidence)</t>
        </is>
      </c>
    </row>
    <row r="59" ht="15" customHeight="1" s="16">
      <c r="A59" s="26" t="inlineStr">
        <is>
          <t>TM-AMT-06-02</t>
        </is>
      </c>
      <c r="B59" s="26" t="inlineStr">
        <is>
          <t>Amount &amp; Thresholds</t>
        </is>
      </c>
      <c r="C59" s="26" t="inlineStr">
        <is>
          <t>AMT-06</t>
        </is>
      </c>
      <c r="D59" s="26" t="inlineStr">
        <is>
          <t>Deviation from peer group</t>
        </is>
      </c>
      <c r="E59" s="26" t="inlineStr">
        <is>
          <t>Negative</t>
        </is>
      </c>
      <c r="F59" s="26" t="inlineStr">
        <is>
          <t>Customer at 95th percentile</t>
        </is>
      </c>
      <c r="G59" s="26" t="inlineStr">
        <is>
          <t>No alert</t>
        </is>
      </c>
      <c r="H59" s="26" t="inlineStr">
        <is>
          <t>Medium</t>
        </is>
      </c>
      <c r="I59" s="26" t="inlineStr">
        <is>
          <t>P2</t>
        </is>
      </c>
      <c r="J59" s="30" t="inlineStr">
        <is>
          <t>Blocked</t>
        </is>
      </c>
      <c r="K59" s="29" t="inlineStr">
        <is>
          <t>Capability gap — peerRatio compares with the peer median of agent-processed volume only; no percentile, segment or minimum peer-group size. Closest rule definition rejected by the rule validator: $.condition.aggregate: Unknown aggregate 'peerPercentile'.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59" s="29" t="inlineStr">
        <is>
          <t>Claude (automated test suite)</t>
        </is>
      </c>
      <c r="M59" s="29" t="inlineStr">
        <is>
          <t>2026-10-15</t>
        </is>
      </c>
      <c r="N59" s="29" t="inlineStr">
        <is>
          <t>GAP-AMT-06</t>
        </is>
      </c>
      <c r="O59" s="29" t="inlineStr">
        <is>
          <t>Automated: CapabilityGapTests.Scenario_not_configurable (rule validator evidence)</t>
        </is>
      </c>
    </row>
    <row r="60" ht="15" customHeight="1" s="16">
      <c r="A60" s="26" t="inlineStr">
        <is>
          <t>TM-AMT-06-03</t>
        </is>
      </c>
      <c r="B60" s="26" t="inlineStr">
        <is>
          <t>Amount &amp; Thresholds</t>
        </is>
      </c>
      <c r="C60" s="26" t="inlineStr">
        <is>
          <t>AMT-06</t>
        </is>
      </c>
      <c r="D60" s="26" t="inlineStr">
        <is>
          <t>Deviation from peer group</t>
        </is>
      </c>
      <c r="E60" s="26" t="inlineStr">
        <is>
          <t>Edge</t>
        </is>
      </c>
      <c r="F60" s="26" t="inlineStr">
        <is>
          <t>Peer group has 20 members</t>
        </is>
      </c>
      <c r="G60" s="26" t="inlineStr">
        <is>
          <t>Rule not evaluated; logged</t>
        </is>
      </c>
      <c r="H60" s="26" t="inlineStr">
        <is>
          <t>Medium</t>
        </is>
      </c>
      <c r="I60" s="26" t="inlineStr">
        <is>
          <t>P2</t>
        </is>
      </c>
      <c r="J60" s="30" t="inlineStr">
        <is>
          <t>Blocked</t>
        </is>
      </c>
      <c r="K60" s="29" t="inlineStr">
        <is>
          <t>Capability gap — peerRatio compares with the peer median of agent-processed volume only; no percentile, segment or minimum peer-group size. Closest rule definition rejected by the rule validator: $.condition.aggregate: Unknown aggregate 'peerPercentile'.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60" s="29" t="inlineStr">
        <is>
          <t>Claude (automated test suite)</t>
        </is>
      </c>
      <c r="M60" s="29" t="inlineStr">
        <is>
          <t>2026-10-15</t>
        </is>
      </c>
      <c r="N60" s="29" t="inlineStr">
        <is>
          <t>GAP-AMT-06</t>
        </is>
      </c>
      <c r="O60" s="29" t="inlineStr">
        <is>
          <t>Automated: CapabilityGapTests.Scenario_not_configurable (rule validator evidence)</t>
        </is>
      </c>
    </row>
    <row r="61" ht="15" customHeight="1" s="16">
      <c r="A61" s="26" t="inlineStr">
        <is>
          <t>TM-AMT-07-01</t>
        </is>
      </c>
      <c r="B61" s="26" t="inlineStr">
        <is>
          <t>Amount &amp; Thresholds</t>
        </is>
      </c>
      <c r="C61" s="26" t="inlineStr">
        <is>
          <t>AMT-07</t>
        </is>
      </c>
      <c r="D61" s="26" t="inlineStr">
        <is>
          <t>Round-amount transactions</t>
        </is>
      </c>
      <c r="E61" s="26" t="inlineStr">
        <is>
          <t>Positive</t>
        </is>
      </c>
      <c r="F61" s="26" t="inlineStr">
        <is>
          <t>Transfers of 500, 1,000, 700, 900, 300 within 5 days</t>
        </is>
      </c>
      <c r="G61" s="26" t="inlineStr">
        <is>
          <t>Alert raised</t>
        </is>
      </c>
      <c r="H61" s="26" t="inlineStr">
        <is>
          <t>Low</t>
        </is>
      </c>
      <c r="I61" s="26" t="inlineStr">
        <is>
          <t>P2</t>
        </is>
      </c>
      <c r="J61" s="28" t="inlineStr">
        <is>
          <t>Pass</t>
        </is>
      </c>
      <c r="K61" s="29" t="inlineStr">
        <is>
          <t>500, 1,000, 700, 900, 300 within 5 days → 1 alert (operator multipleOf 100).</t>
        </is>
      </c>
      <c r="L61" s="29" t="inlineStr">
        <is>
          <t>Claude (automated test suite)</t>
        </is>
      </c>
      <c r="M61" s="29" t="inlineStr">
        <is>
          <t>2026-10-15</t>
        </is>
      </c>
      <c r="N61" s="29" t="n"/>
      <c r="O61" s="29" t="inlineStr">
        <is>
          <t>Automated: ExtendedCapabilityTests.AMT_07_round_amounts. Blocked in the first execution (capability gap); executable after the rule DSL extension.</t>
        </is>
      </c>
    </row>
    <row r="62" ht="15" customHeight="1" s="16">
      <c r="A62" s="26" t="inlineStr">
        <is>
          <t>TM-AMT-07-02</t>
        </is>
      </c>
      <c r="B62" s="26" t="inlineStr">
        <is>
          <t>Amount &amp; Thresholds</t>
        </is>
      </c>
      <c r="C62" s="26" t="inlineStr">
        <is>
          <t>AMT-07</t>
        </is>
      </c>
      <c r="D62" s="26" t="inlineStr">
        <is>
          <t>Round-amount transactions</t>
        </is>
      </c>
      <c r="E62" s="26" t="inlineStr">
        <is>
          <t>Negative</t>
        </is>
      </c>
      <c r="F62" s="26" t="inlineStr">
        <is>
          <t>Transfers of 503.25, 1,012.10 etc.</t>
        </is>
      </c>
      <c r="G62" s="26" t="inlineStr">
        <is>
          <t>No alert</t>
        </is>
      </c>
      <c r="H62" s="26" t="inlineStr">
        <is>
          <t>Low</t>
        </is>
      </c>
      <c r="I62" s="26" t="inlineStr">
        <is>
          <t>P2</t>
        </is>
      </c>
      <c r="J62" s="28" t="inlineStr">
        <is>
          <t>Pass</t>
        </is>
      </c>
      <c r="K62" s="29" t="inlineStr">
        <is>
          <t>503.25, 1,012.10, ... → 0 alerts.</t>
        </is>
      </c>
      <c r="L62" s="29" t="inlineStr">
        <is>
          <t>Claude (automated test suite)</t>
        </is>
      </c>
      <c r="M62" s="29" t="inlineStr">
        <is>
          <t>2026-10-15</t>
        </is>
      </c>
      <c r="N62" s="29" t="n"/>
      <c r="O62" s="29" t="inlineStr">
        <is>
          <t>Automated: ExtendedCapabilityTests.AMT_07_round_amounts. Blocked in the first execution (capability gap); executable after the rule DSL extension.</t>
        </is>
      </c>
    </row>
    <row r="63" ht="15" customHeight="1" s="16">
      <c r="A63" s="26" t="inlineStr">
        <is>
          <t>TM-AMT-07-03</t>
        </is>
      </c>
      <c r="B63" s="26" t="inlineStr">
        <is>
          <t>Amount &amp; Thresholds</t>
        </is>
      </c>
      <c r="C63" s="26" t="inlineStr">
        <is>
          <t>AMT-07</t>
        </is>
      </c>
      <c r="D63" s="26" t="inlineStr">
        <is>
          <t>Round-amount transactions</t>
        </is>
      </c>
      <c r="E63" s="26" t="inlineStr">
        <is>
          <t>Boundary</t>
        </is>
      </c>
      <c r="F63" s="26" t="inlineStr">
        <is>
          <t>4 round transfers</t>
        </is>
      </c>
      <c r="G63" s="26" t="inlineStr">
        <is>
          <t>No alert</t>
        </is>
      </c>
      <c r="H63" s="26" t="inlineStr">
        <is>
          <t>Low</t>
        </is>
      </c>
      <c r="I63" s="26" t="inlineStr">
        <is>
          <t>P2</t>
        </is>
      </c>
      <c r="J63" s="28" t="inlineStr">
        <is>
          <t>Pass</t>
        </is>
      </c>
      <c r="K63" s="29" t="inlineStr">
        <is>
          <t>4 round transfers → 0 alerts.</t>
        </is>
      </c>
      <c r="L63" s="29" t="inlineStr">
        <is>
          <t>Claude (automated test suite)</t>
        </is>
      </c>
      <c r="M63" s="29" t="inlineStr">
        <is>
          <t>2026-10-15</t>
        </is>
      </c>
      <c r="N63" s="29" t="n"/>
      <c r="O63" s="29" t="inlineStr">
        <is>
          <t>Automated: ExtendedCapabilityTests.AMT_07_round_amounts. Blocked in the first execution (capability gap); executable after the rule DSL extension.</t>
        </is>
      </c>
    </row>
    <row r="64" ht="15" customHeight="1" s="16">
      <c r="A64" s="26" t="inlineStr">
        <is>
          <t>TM-AMT-08-01</t>
        </is>
      </c>
      <c r="B64" s="26" t="inlineStr">
        <is>
          <t>Amount &amp; Thresholds</t>
        </is>
      </c>
      <c r="C64" s="26" t="inlineStr">
        <is>
          <t>AMT-08</t>
        </is>
      </c>
      <c r="D64" s="26" t="inlineStr">
        <is>
          <t>Large transaction on low-risk product</t>
        </is>
      </c>
      <c r="E64" s="26" t="inlineStr">
        <is>
          <t>Positive</t>
        </is>
      </c>
      <c r="F64" s="26" t="inlineStr">
        <is>
          <t>Basic-KYC wallet receives 1,200 (core failed to enforce limit)</t>
        </is>
      </c>
      <c r="G64" s="26" t="inlineStr">
        <is>
          <t>Alert raised as limit breach</t>
        </is>
      </c>
      <c r="H64" s="26" t="inlineStr">
        <is>
          <t>High</t>
        </is>
      </c>
      <c r="I64" s="26" t="inlineStr">
        <is>
          <t>P1</t>
        </is>
      </c>
      <c r="J64" s="28" t="inlineStr">
        <is>
          <t>Pass</t>
        </is>
      </c>
      <c r="K64" s="29" t="inlineStr">
        <is>
          <t>Basic-KYC wallet received 1,200 (&gt; product limit 1,000) → 1 limit-breach alert.</t>
        </is>
      </c>
      <c r="L64" s="29" t="inlineStr">
        <is>
          <t>Claude (automated test suite)</t>
        </is>
      </c>
      <c r="M64" s="29" t="inlineStr">
        <is>
          <t>2026-10-15</t>
        </is>
      </c>
      <c r="N64" s="29" t="n"/>
      <c r="O64" s="29" t="inlineStr">
        <is>
          <t>Automated: AmountTests.AMT_08_basic_kyc_limit</t>
        </is>
      </c>
    </row>
    <row r="65" ht="15" customHeight="1" s="16">
      <c r="A65" s="26" t="inlineStr">
        <is>
          <t>TM-AMT-08-02</t>
        </is>
      </c>
      <c r="B65" s="26" t="inlineStr">
        <is>
          <t>Amount &amp; Thresholds</t>
        </is>
      </c>
      <c r="C65" s="26" t="inlineStr">
        <is>
          <t>AMT-08</t>
        </is>
      </c>
      <c r="D65" s="26" t="inlineStr">
        <is>
          <t>Large transaction on low-risk product</t>
        </is>
      </c>
      <c r="E65" s="26" t="inlineStr">
        <is>
          <t>Negative</t>
        </is>
      </c>
      <c r="F65" s="26" t="inlineStr">
        <is>
          <t>Full-KYC wallet receives 1,200</t>
        </is>
      </c>
      <c r="G65" s="26" t="inlineStr">
        <is>
          <t>No alert</t>
        </is>
      </c>
      <c r="H65" s="26" t="inlineStr">
        <is>
          <t>High</t>
        </is>
      </c>
      <c r="I65" s="26" t="inlineStr">
        <is>
          <t>P1</t>
        </is>
      </c>
      <c r="J65" s="28" t="inlineStr">
        <is>
          <t>Pass</t>
        </is>
      </c>
      <c r="K65" s="29" t="inlineStr">
        <is>
          <t>Full-KYC wallet received 1,200 → 0 alerts.</t>
        </is>
      </c>
      <c r="L65" s="29" t="inlineStr">
        <is>
          <t>Claude (automated test suite)</t>
        </is>
      </c>
      <c r="M65" s="29" t="inlineStr">
        <is>
          <t>2026-10-15</t>
        </is>
      </c>
      <c r="N65" s="29" t="n"/>
      <c r="O65" s="29" t="inlineStr">
        <is>
          <t>Automated: AmountTests.AMT_08_basic_kyc_limit</t>
        </is>
      </c>
    </row>
    <row r="66" ht="15" customHeight="1" s="16">
      <c r="A66" s="26" t="inlineStr">
        <is>
          <t>TM-AMT-08-03</t>
        </is>
      </c>
      <c r="B66" s="26" t="inlineStr">
        <is>
          <t>Amount &amp; Thresholds</t>
        </is>
      </c>
      <c r="C66" s="26" t="inlineStr">
        <is>
          <t>AMT-08</t>
        </is>
      </c>
      <c r="D66" s="26" t="inlineStr">
        <is>
          <t>Large transaction on low-risk product</t>
        </is>
      </c>
      <c r="E66" s="26" t="inlineStr">
        <is>
          <t>Edge</t>
        </is>
      </c>
      <c r="F66" s="26" t="inlineStr">
        <is>
          <t>Wallet upgraded to full KYC 1 hour before transaction</t>
        </is>
      </c>
      <c r="G66" s="26" t="inlineStr">
        <is>
          <t>Uses KYC level at transaction time</t>
        </is>
      </c>
      <c r="H66" s="26" t="inlineStr">
        <is>
          <t>High</t>
        </is>
      </c>
      <c r="I66" s="26" t="inlineStr">
        <is>
          <t>P1</t>
        </is>
      </c>
      <c r="J66" s="28" t="inlineStr">
        <is>
          <t>Pass</t>
        </is>
      </c>
      <c r="K66" s="29" t="inlineStr">
        <is>
          <t>Wallet upgraded 1 h before the transaction; KYC level evaluated as of transaction time (effective-dated field) → 0 alerts.</t>
        </is>
      </c>
      <c r="L66" s="29" t="inlineStr">
        <is>
          <t>Claude (automated test suite)</t>
        </is>
      </c>
      <c r="M66" s="29" t="inlineStr">
        <is>
          <t>2026-10-15</t>
        </is>
      </c>
      <c r="N66" s="29" t="n"/>
      <c r="O66" s="29" t="inlineStr">
        <is>
          <t>Automated: AmountTests.AMT_08_basic_kyc_limit</t>
        </is>
      </c>
    </row>
    <row r="67" ht="22.35" customHeight="1" s="16">
      <c r="A67" s="26" t="inlineStr">
        <is>
          <t>TM-STR-01-01</t>
        </is>
      </c>
      <c r="B67" s="26" t="inlineStr">
        <is>
          <t>Structuring &amp; Smurfing</t>
        </is>
      </c>
      <c r="C67" s="26" t="inlineStr">
        <is>
          <t>STR-01</t>
        </is>
      </c>
      <c r="D67" s="26" t="inlineStr">
        <is>
          <t>Multiple transactions just below threshold</t>
        </is>
      </c>
      <c r="E67" s="26" t="inlineStr">
        <is>
          <t>Positive</t>
        </is>
      </c>
      <c r="F67" s="26" t="inlineStr">
        <is>
          <t>Three deposits of 9,500, 9,800 and 9,900 within 4 days</t>
        </is>
      </c>
      <c r="G67" s="26" t="inlineStr">
        <is>
          <t>Alert raised; structuring indicator</t>
        </is>
      </c>
      <c r="H67" s="26" t="inlineStr">
        <is>
          <t>High</t>
        </is>
      </c>
      <c r="I67" s="26" t="inlineStr">
        <is>
          <t>P1</t>
        </is>
      </c>
      <c r="J67" s="28" t="inlineStr">
        <is>
          <t>Pass</t>
        </is>
      </c>
      <c r="K67" s="29" t="inlineStr">
        <is>
          <t>9,500 / 9,800 / 9,900 within 4 days → 1 structuring alert.</t>
        </is>
      </c>
      <c r="L67" s="29" t="inlineStr">
        <is>
          <t>Claude (automated test suite)</t>
        </is>
      </c>
      <c r="M67" s="29" t="inlineStr">
        <is>
          <t>2026-10-15</t>
        </is>
      </c>
      <c r="N67" s="29" t="n"/>
      <c r="O67" s="29" t="inlineStr">
        <is>
          <t>Automated: StructuringTests.STR_01_below_threshold</t>
        </is>
      </c>
    </row>
    <row r="68" ht="22.35" customHeight="1" s="16">
      <c r="A68" s="26" t="inlineStr">
        <is>
          <t>TM-STR-01-02</t>
        </is>
      </c>
      <c r="B68" s="26" t="inlineStr">
        <is>
          <t>Structuring &amp; Smurfing</t>
        </is>
      </c>
      <c r="C68" s="26" t="inlineStr">
        <is>
          <t>STR-01</t>
        </is>
      </c>
      <c r="D68" s="26" t="inlineStr">
        <is>
          <t>Multiple transactions just below threshold</t>
        </is>
      </c>
      <c r="E68" s="26" t="inlineStr">
        <is>
          <t>Boundary</t>
        </is>
      </c>
      <c r="F68" s="26" t="inlineStr">
        <is>
          <t>Two deposits in band and one of 8,999</t>
        </is>
      </c>
      <c r="G68" s="26" t="inlineStr">
        <is>
          <t>No alert</t>
        </is>
      </c>
      <c r="H68" s="26" t="inlineStr">
        <is>
          <t>High</t>
        </is>
      </c>
      <c r="I68" s="26" t="inlineStr">
        <is>
          <t>P1</t>
        </is>
      </c>
      <c r="J68" s="28" t="inlineStr">
        <is>
          <t>Pass</t>
        </is>
      </c>
      <c r="K68" s="29" t="inlineStr">
        <is>
          <t>Two in band + 8,999 → 0 alerts.</t>
        </is>
      </c>
      <c r="L68" s="29" t="inlineStr">
        <is>
          <t>Claude (automated test suite)</t>
        </is>
      </c>
      <c r="M68" s="29" t="inlineStr">
        <is>
          <t>2026-10-15</t>
        </is>
      </c>
      <c r="N68" s="29" t="n"/>
      <c r="O68" s="29" t="inlineStr">
        <is>
          <t>Automated: StructuringTests.STR_01_below_threshold</t>
        </is>
      </c>
    </row>
    <row r="69" ht="22.35" customHeight="1" s="16">
      <c r="A69" s="26" t="inlineStr">
        <is>
          <t>TM-STR-01-03</t>
        </is>
      </c>
      <c r="B69" s="26" t="inlineStr">
        <is>
          <t>Structuring &amp; Smurfing</t>
        </is>
      </c>
      <c r="C69" s="26" t="inlineStr">
        <is>
          <t>STR-01</t>
        </is>
      </c>
      <c r="D69" s="26" t="inlineStr">
        <is>
          <t>Multiple transactions just below threshold</t>
        </is>
      </c>
      <c r="E69" s="26" t="inlineStr">
        <is>
          <t>Boundary</t>
        </is>
      </c>
      <c r="F69" s="26" t="inlineStr">
        <is>
          <t>Amount exactly 9,000 (90%)</t>
        </is>
      </c>
      <c r="G69" s="26" t="inlineStr">
        <is>
          <t>Counted (inclusive lower bound)</t>
        </is>
      </c>
      <c r="H69" s="26" t="inlineStr">
        <is>
          <t>High</t>
        </is>
      </c>
      <c r="I69" s="26" t="inlineStr">
        <is>
          <t>P1</t>
        </is>
      </c>
      <c r="J69" s="28" t="inlineStr">
        <is>
          <t>Pass</t>
        </is>
      </c>
      <c r="K69" s="29" t="inlineStr">
        <is>
          <t>9,000 (exactly 90%) counted (inclusive lower bound) with two others → 1 alert.</t>
        </is>
      </c>
      <c r="L69" s="29" t="inlineStr">
        <is>
          <t>Claude (automated test suite)</t>
        </is>
      </c>
      <c r="M69" s="29" t="inlineStr">
        <is>
          <t>2026-10-15</t>
        </is>
      </c>
      <c r="N69" s="29" t="n"/>
      <c r="O69" s="29" t="inlineStr">
        <is>
          <t>Automated: StructuringTests.STR_01_below_threshold</t>
        </is>
      </c>
    </row>
    <row r="70" ht="22.35" customHeight="1" s="16">
      <c r="A70" s="26" t="inlineStr">
        <is>
          <t>TM-STR-01-04</t>
        </is>
      </c>
      <c r="B70" s="26" t="inlineStr">
        <is>
          <t>Structuring &amp; Smurfing</t>
        </is>
      </c>
      <c r="C70" s="26" t="inlineStr">
        <is>
          <t>STR-01</t>
        </is>
      </c>
      <c r="D70" s="26" t="inlineStr">
        <is>
          <t>Multiple transactions just below threshold</t>
        </is>
      </c>
      <c r="E70" s="26" t="inlineStr">
        <is>
          <t>Negative</t>
        </is>
      </c>
      <c r="F70" s="26" t="inlineStr">
        <is>
          <t>Three deposits of 10,500</t>
        </is>
      </c>
      <c r="G70" s="26" t="inlineStr">
        <is>
          <t>Not structuring; single large rule handles them</t>
        </is>
      </c>
      <c r="H70" s="26" t="inlineStr">
        <is>
          <t>High</t>
        </is>
      </c>
      <c r="I70" s="26" t="inlineStr">
        <is>
          <t>P1</t>
        </is>
      </c>
      <c r="J70" s="28" t="inlineStr">
        <is>
          <t>Pass</t>
        </is>
      </c>
      <c r="K70" s="29" t="inlineStr">
        <is>
          <t>Three deposits of 10,500 → 0 structuring alerts (handled by single-large rule).</t>
        </is>
      </c>
      <c r="L70" s="29" t="inlineStr">
        <is>
          <t>Claude (automated test suite)</t>
        </is>
      </c>
      <c r="M70" s="29" t="inlineStr">
        <is>
          <t>2026-10-15</t>
        </is>
      </c>
      <c r="N70" s="29" t="n"/>
      <c r="O70" s="29" t="inlineStr">
        <is>
          <t>Automated: StructuringTests.STR_01_below_threshold</t>
        </is>
      </c>
    </row>
    <row r="71" ht="22.35" customHeight="1" s="16">
      <c r="A71" s="26" t="inlineStr">
        <is>
          <t>TM-STR-01-05</t>
        </is>
      </c>
      <c r="B71" s="26" t="inlineStr">
        <is>
          <t>Structuring &amp; Smurfing</t>
        </is>
      </c>
      <c r="C71" s="26" t="inlineStr">
        <is>
          <t>STR-01</t>
        </is>
      </c>
      <c r="D71" s="26" t="inlineStr">
        <is>
          <t>Multiple transactions just below threshold</t>
        </is>
      </c>
      <c r="E71" s="26" t="inlineStr">
        <is>
          <t>Edge</t>
        </is>
      </c>
      <c r="F71" s="26" t="inlineStr">
        <is>
          <t>Deposits through different channels (agent, bank transfer, card)</t>
        </is>
      </c>
      <c r="G71" s="26" t="inlineStr">
        <is>
          <t>Aggregated across channels; alert raised</t>
        </is>
      </c>
      <c r="H71" s="26" t="inlineStr">
        <is>
          <t>High</t>
        </is>
      </c>
      <c r="I71" s="26" t="inlineStr">
        <is>
          <t>P1</t>
        </is>
      </c>
      <c r="J71" s="28" t="inlineStr">
        <is>
          <t>Pass</t>
        </is>
      </c>
      <c r="K71" s="29" t="inlineStr">
        <is>
          <t>Deposits via agent, bank transfer and card aggregated across channels → 1 alert.</t>
        </is>
      </c>
      <c r="L71" s="29" t="inlineStr">
        <is>
          <t>Claude (automated test suite)</t>
        </is>
      </c>
      <c r="M71" s="29" t="inlineStr">
        <is>
          <t>2026-10-15</t>
        </is>
      </c>
      <c r="N71" s="29" t="n"/>
      <c r="O71" s="29" t="inlineStr">
        <is>
          <t>Automated: StructuringTests.STR_01_below_threshold</t>
        </is>
      </c>
    </row>
    <row r="72" ht="22.35" customHeight="1" s="16">
      <c r="A72" s="26" t="inlineStr">
        <is>
          <t>TM-STR-02-01</t>
        </is>
      </c>
      <c r="B72" s="26" t="inlineStr">
        <is>
          <t>Structuring &amp; Smurfing</t>
        </is>
      </c>
      <c r="C72" s="26" t="inlineStr">
        <is>
          <t>STR-02</t>
        </is>
      </c>
      <c r="D72" s="26" t="inlineStr">
        <is>
          <t>Split cash-in across multiple agents same day</t>
        </is>
      </c>
      <c r="E72" s="26" t="inlineStr">
        <is>
          <t>Positive</t>
        </is>
      </c>
      <c r="F72" s="26" t="inlineStr">
        <is>
          <t>C8 cash-in 1,000 at agent A, 1,000 at B, 1,100 at C same day</t>
        </is>
      </c>
      <c r="G72" s="26" t="inlineStr">
        <is>
          <t>Alert raised</t>
        </is>
      </c>
      <c r="H72" s="26" t="inlineStr">
        <is>
          <t>High</t>
        </is>
      </c>
      <c r="I72" s="26" t="inlineStr">
        <is>
          <t>P1</t>
        </is>
      </c>
      <c r="J72" s="28" t="inlineStr">
        <is>
          <t>Pass</t>
        </is>
      </c>
      <c r="K72" s="29" t="inlineStr">
        <is>
          <t>1,000 / 1,000 / 1,100 cash-in at 3 agents same day → 1 alert.</t>
        </is>
      </c>
      <c r="L72" s="29" t="inlineStr">
        <is>
          <t>Claude (automated test suite)</t>
        </is>
      </c>
      <c r="M72" s="29" t="inlineStr">
        <is>
          <t>2026-10-15</t>
        </is>
      </c>
      <c r="N72" s="29" t="n"/>
      <c r="O72" s="29" t="inlineStr">
        <is>
          <t>Automated: StructuringTests.STR_02_split_cash_in_agents</t>
        </is>
      </c>
    </row>
    <row r="73" ht="22.35" customHeight="1" s="16">
      <c r="A73" s="26" t="inlineStr">
        <is>
          <t>TM-STR-02-02</t>
        </is>
      </c>
      <c r="B73" s="26" t="inlineStr">
        <is>
          <t>Structuring &amp; Smurfing</t>
        </is>
      </c>
      <c r="C73" s="26" t="inlineStr">
        <is>
          <t>STR-02</t>
        </is>
      </c>
      <c r="D73" s="26" t="inlineStr">
        <is>
          <t>Split cash-in across multiple agents same day</t>
        </is>
      </c>
      <c r="E73" s="26" t="inlineStr">
        <is>
          <t>Negative</t>
        </is>
      </c>
      <c r="F73" s="26" t="inlineStr">
        <is>
          <t>3,100 cash-in at one agent</t>
        </is>
      </c>
      <c r="G73" s="26" t="inlineStr">
        <is>
          <t>No alert for this rule</t>
        </is>
      </c>
      <c r="H73" s="26" t="inlineStr">
        <is>
          <t>High</t>
        </is>
      </c>
      <c r="I73" s="26" t="inlineStr">
        <is>
          <t>P1</t>
        </is>
      </c>
      <c r="J73" s="28" t="inlineStr">
        <is>
          <t>Pass</t>
        </is>
      </c>
      <c r="K73" s="29" t="inlineStr">
        <is>
          <t>3,100 at one agent → 0 alerts for this rule.</t>
        </is>
      </c>
      <c r="L73" s="29" t="inlineStr">
        <is>
          <t>Claude (automated test suite)</t>
        </is>
      </c>
      <c r="M73" s="29" t="inlineStr">
        <is>
          <t>2026-10-15</t>
        </is>
      </c>
      <c r="N73" s="29" t="n"/>
      <c r="O73" s="29" t="inlineStr">
        <is>
          <t>Automated: StructuringTests.STR_02_split_cash_in_agents</t>
        </is>
      </c>
    </row>
    <row r="74" ht="22.35" customHeight="1" s="16">
      <c r="A74" s="26" t="inlineStr">
        <is>
          <t>TM-STR-02-03</t>
        </is>
      </c>
      <c r="B74" s="26" t="inlineStr">
        <is>
          <t>Structuring &amp; Smurfing</t>
        </is>
      </c>
      <c r="C74" s="26" t="inlineStr">
        <is>
          <t>STR-02</t>
        </is>
      </c>
      <c r="D74" s="26" t="inlineStr">
        <is>
          <t>Split cash-in across multiple agents same day</t>
        </is>
      </c>
      <c r="E74" s="26" t="inlineStr">
        <is>
          <t>Boundary</t>
        </is>
      </c>
      <c r="F74" s="26" t="inlineStr">
        <is>
          <t>2 distinct agents</t>
        </is>
      </c>
      <c r="G74" s="26" t="inlineStr">
        <is>
          <t>No alert</t>
        </is>
      </c>
      <c r="H74" s="26" t="inlineStr">
        <is>
          <t>High</t>
        </is>
      </c>
      <c r="I74" s="26" t="inlineStr">
        <is>
          <t>P1</t>
        </is>
      </c>
      <c r="J74" s="28" t="inlineStr">
        <is>
          <t>Pass</t>
        </is>
      </c>
      <c r="K74" s="29" t="inlineStr">
        <is>
          <t>2 distinct agents → 0 alerts.</t>
        </is>
      </c>
      <c r="L74" s="29" t="inlineStr">
        <is>
          <t>Claude (automated test suite)</t>
        </is>
      </c>
      <c r="M74" s="29" t="inlineStr">
        <is>
          <t>2026-10-15</t>
        </is>
      </c>
      <c r="N74" s="29" t="n"/>
      <c r="O74" s="29" t="inlineStr">
        <is>
          <t>Automated: StructuringTests.STR_02_split_cash_in_agents</t>
        </is>
      </c>
    </row>
    <row r="75" ht="22.35" customHeight="1" s="16">
      <c r="A75" s="26" t="inlineStr">
        <is>
          <t>TM-STR-02-04</t>
        </is>
      </c>
      <c r="B75" s="26" t="inlineStr">
        <is>
          <t>Structuring &amp; Smurfing</t>
        </is>
      </c>
      <c r="C75" s="26" t="inlineStr">
        <is>
          <t>STR-02</t>
        </is>
      </c>
      <c r="D75" s="26" t="inlineStr">
        <is>
          <t>Split cash-in across multiple agents same day</t>
        </is>
      </c>
      <c r="E75" s="26" t="inlineStr">
        <is>
          <t>Edge</t>
        </is>
      </c>
      <c r="F75" s="26" t="inlineStr">
        <is>
          <t>Agent B is sub-agent of A</t>
        </is>
      </c>
      <c r="G75" s="26" t="inlineStr">
        <is>
          <t>Counted as distinct agents per configuration</t>
        </is>
      </c>
      <c r="H75" s="26" t="inlineStr">
        <is>
          <t>High</t>
        </is>
      </c>
      <c r="I75" s="26" t="inlineStr">
        <is>
          <t>P1</t>
        </is>
      </c>
      <c r="J75" s="28" t="inlineStr">
        <is>
          <t>Pass</t>
        </is>
      </c>
      <c r="K75" s="29" t="inlineStr">
        <is>
          <t>Agent B (sub-agent of A) counted as a distinct agent (separate agent customer/till) → 1 alert.</t>
        </is>
      </c>
      <c r="L75" s="29" t="inlineStr">
        <is>
          <t>Claude (automated test suite)</t>
        </is>
      </c>
      <c r="M75" s="29" t="inlineStr">
        <is>
          <t>2026-10-15</t>
        </is>
      </c>
      <c r="N75" s="29" t="n"/>
      <c r="O75" s="29" t="inlineStr">
        <is>
          <t>Automated: StructuringTests.STR_02_split_cash_in_agents</t>
        </is>
      </c>
    </row>
    <row r="76" ht="22.35" customHeight="1" s="16">
      <c r="A76" s="26" t="inlineStr">
        <is>
          <t>TM-STR-03-01</t>
        </is>
      </c>
      <c r="B76" s="26" t="inlineStr">
        <is>
          <t>Structuring &amp; Smurfing</t>
        </is>
      </c>
      <c r="C76" s="26" t="inlineStr">
        <is>
          <t>STR-03</t>
        </is>
      </c>
      <c r="D76" s="26" t="inlineStr">
        <is>
          <t>Smurfing — many depositors to one account</t>
        </is>
      </c>
      <c r="E76" s="26" t="inlineStr">
        <is>
          <t>Positive</t>
        </is>
      </c>
      <c r="F76" s="26" t="inlineStr">
        <is>
          <t>12 different people each send 450 to C9 within 2 days</t>
        </is>
      </c>
      <c r="G76" s="26" t="inlineStr">
        <is>
          <t>Alert raised; sender list in evidence</t>
        </is>
      </c>
      <c r="H76" s="26" t="inlineStr">
        <is>
          <t>High</t>
        </is>
      </c>
      <c r="I76" s="26" t="inlineStr">
        <is>
          <t>P1</t>
        </is>
      </c>
      <c r="J76" s="28" t="inlineStr">
        <is>
          <t>Pass</t>
        </is>
      </c>
      <c r="K76" s="29" t="inlineStr">
        <is>
          <t>12 different senders × 450 within 2 days → 1 alert; sender list in evidence.</t>
        </is>
      </c>
      <c r="L76" s="29" t="inlineStr">
        <is>
          <t>Claude (automated test suite)</t>
        </is>
      </c>
      <c r="M76" s="29" t="inlineStr">
        <is>
          <t>2026-10-15</t>
        </is>
      </c>
      <c r="N76" s="29" t="n"/>
      <c r="O76" s="29" t="inlineStr">
        <is>
          <t>Automated: StructuringTests.STR_03_smurfing</t>
        </is>
      </c>
    </row>
    <row r="77" ht="22.35" customHeight="1" s="16">
      <c r="A77" s="26" t="inlineStr">
        <is>
          <t>TM-STR-03-02</t>
        </is>
      </c>
      <c r="B77" s="26" t="inlineStr">
        <is>
          <t>Structuring &amp; Smurfing</t>
        </is>
      </c>
      <c r="C77" s="26" t="inlineStr">
        <is>
          <t>STR-03</t>
        </is>
      </c>
      <c r="D77" s="26" t="inlineStr">
        <is>
          <t>Smurfing — many depositors to one account</t>
        </is>
      </c>
      <c r="E77" s="26" t="inlineStr">
        <is>
          <t>Boundary</t>
        </is>
      </c>
      <c r="F77" s="26" t="inlineStr">
        <is>
          <t>9 senders</t>
        </is>
      </c>
      <c r="G77" s="26" t="inlineStr">
        <is>
          <t>No alert</t>
        </is>
      </c>
      <c r="H77" s="26" t="inlineStr">
        <is>
          <t>High</t>
        </is>
      </c>
      <c r="I77" s="26" t="inlineStr">
        <is>
          <t>P1</t>
        </is>
      </c>
      <c r="J77" s="28" t="inlineStr">
        <is>
          <t>Pass</t>
        </is>
      </c>
      <c r="K77" s="29" t="inlineStr">
        <is>
          <t>9 senders → 0 alerts.</t>
        </is>
      </c>
      <c r="L77" s="29" t="inlineStr">
        <is>
          <t>Claude (automated test suite)</t>
        </is>
      </c>
      <c r="M77" s="29" t="inlineStr">
        <is>
          <t>2026-10-15</t>
        </is>
      </c>
      <c r="N77" s="29" t="n"/>
      <c r="O77" s="29" t="inlineStr">
        <is>
          <t>Automated: StructuringTests.STR_03_smurfing</t>
        </is>
      </c>
    </row>
    <row r="78" ht="22.35" customHeight="1" s="16">
      <c r="A78" s="26" t="inlineStr">
        <is>
          <t>TM-STR-03-03</t>
        </is>
      </c>
      <c r="B78" s="26" t="inlineStr">
        <is>
          <t>Structuring &amp; Smurfing</t>
        </is>
      </c>
      <c r="C78" s="26" t="inlineStr">
        <is>
          <t>STR-03</t>
        </is>
      </c>
      <c r="D78" s="26" t="inlineStr">
        <is>
          <t>Smurfing — many depositors to one account</t>
        </is>
      </c>
      <c r="E78" s="26" t="inlineStr">
        <is>
          <t>Negative</t>
        </is>
      </c>
      <c r="F78" s="26" t="inlineStr">
        <is>
          <t>12 senders, but C9 is a registered merchant</t>
        </is>
      </c>
      <c r="G78" s="26" t="inlineStr">
        <is>
          <t>Excluded or uses merchant thresholds</t>
        </is>
      </c>
      <c r="H78" s="26" t="inlineStr">
        <is>
          <t>High</t>
        </is>
      </c>
      <c r="I78" s="26" t="inlineStr">
        <is>
          <t>P1</t>
        </is>
      </c>
      <c r="J78" s="28" t="inlineStr">
        <is>
          <t>Pass</t>
        </is>
      </c>
      <c r="K78" s="29" t="inlineStr">
        <is>
          <t>Receiver is a registered merchant (rule scoped to individuals) → 0 alerts.</t>
        </is>
      </c>
      <c r="L78" s="29" t="inlineStr">
        <is>
          <t>Claude (automated test suite)</t>
        </is>
      </c>
      <c r="M78" s="29" t="inlineStr">
        <is>
          <t>2026-10-15</t>
        </is>
      </c>
      <c r="N78" s="29" t="n"/>
      <c r="O78" s="29" t="inlineStr">
        <is>
          <t>Automated: StructuringTests.STR_03_smurfing</t>
        </is>
      </c>
    </row>
    <row r="79" ht="22.35" customHeight="1" s="16">
      <c r="A79" s="26" t="inlineStr">
        <is>
          <t>TM-STR-03-04</t>
        </is>
      </c>
      <c r="B79" s="26" t="inlineStr">
        <is>
          <t>Structuring &amp; Smurfing</t>
        </is>
      </c>
      <c r="C79" s="26" t="inlineStr">
        <is>
          <t>STR-03</t>
        </is>
      </c>
      <c r="D79" s="26" t="inlineStr">
        <is>
          <t>Smurfing — many depositors to one account</t>
        </is>
      </c>
      <c r="E79" s="26" t="inlineStr">
        <is>
          <t>Edge</t>
        </is>
      </c>
      <c r="F79" s="26" t="inlineStr">
        <is>
          <t>3 of the senders share same device/ID token</t>
        </is>
      </c>
      <c r="G79" s="26" t="inlineStr">
        <is>
          <t>Linked parties flagged in evidence</t>
        </is>
      </c>
      <c r="H79" s="26" t="inlineStr">
        <is>
          <t>High</t>
        </is>
      </c>
      <c r="I79" s="26" t="inlineStr">
        <is>
          <t>P1</t>
        </is>
      </c>
      <c r="J79" s="28" t="inlineStr">
        <is>
          <t>Pass</t>
        </is>
      </c>
      <c r="K79" s="29" t="inlineStr">
        <is>
          <t>Alert raised (1); 3 senders share one ID token and are linked by entity resolution, alert evidence flags the linked parties (linkedParties: link type and confidence).</t>
        </is>
      </c>
      <c r="L79" s="29" t="inlineStr">
        <is>
          <t>Claude (automated test suite)</t>
        </is>
      </c>
      <c r="M79" s="29" t="inlineStr">
        <is>
          <t>2026-10-15</t>
        </is>
      </c>
      <c r="N79" s="29" t="inlineStr">
        <is>
          <t>DEF-TM-03 (fixed)</t>
        </is>
      </c>
      <c r="O79" s="29" t="inlineStr">
        <is>
          <t>Automated: StructuringTests.STR_03_smurfing. Failed in the first execution (DEF-TM-03: Entity-resolution links not usable by rules or shown in evidence); fixed: Subject 'Entity' (linked customers, minimum confidence) and linkedParties in alert evidence; re-tested 2026-10-15.</t>
        </is>
      </c>
    </row>
    <row r="80" ht="15" customHeight="1" s="16">
      <c r="A80" s="26" t="inlineStr">
        <is>
          <t>TM-STR-04-01</t>
        </is>
      </c>
      <c r="B80" s="26" t="inlineStr">
        <is>
          <t>Structuring &amp; Smurfing</t>
        </is>
      </c>
      <c r="C80" s="26" t="inlineStr">
        <is>
          <t>STR-04</t>
        </is>
      </c>
      <c r="D80" s="26" t="inlineStr">
        <is>
          <t>Splitting across own multiple wallets</t>
        </is>
      </c>
      <c r="E80" s="26" t="inlineStr">
        <is>
          <t>Positive</t>
        </is>
      </c>
      <c r="F80" s="26" t="inlineStr">
        <is>
          <t>Person P has 3 wallets each receiving 2,000 same day</t>
        </is>
      </c>
      <c r="G80" s="26" t="inlineStr">
        <is>
          <t>Alert at person level</t>
        </is>
      </c>
      <c r="H80" s="26" t="inlineStr">
        <is>
          <t>High</t>
        </is>
      </c>
      <c r="I80" s="26" t="inlineStr">
        <is>
          <t>P1</t>
        </is>
      </c>
      <c r="J80" s="28" t="inlineStr">
        <is>
          <t>Pass</t>
        </is>
      </c>
      <c r="K80" s="29" t="inlineStr">
        <is>
          <t>Same person, 3 wallets each receiving 2,000 → aggregated by resolved customer → 1 person-level alert.</t>
        </is>
      </c>
      <c r="L80" s="29" t="inlineStr">
        <is>
          <t>Claude (automated test suite)</t>
        </is>
      </c>
      <c r="M80" s="29" t="inlineStr">
        <is>
          <t>2026-10-15</t>
        </is>
      </c>
      <c r="N80" s="29" t="n"/>
      <c r="O80" s="29" t="inlineStr">
        <is>
          <t>Automated: StructuringTests.STR_04_multiple_own_wallets</t>
        </is>
      </c>
    </row>
    <row r="81" ht="15" customHeight="1" s="16">
      <c r="A81" s="26" t="inlineStr">
        <is>
          <t>TM-STR-04-02</t>
        </is>
      </c>
      <c r="B81" s="26" t="inlineStr">
        <is>
          <t>Structuring &amp; Smurfing</t>
        </is>
      </c>
      <c r="C81" s="26" t="inlineStr">
        <is>
          <t>STR-04</t>
        </is>
      </c>
      <c r="D81" s="26" t="inlineStr">
        <is>
          <t>Splitting across own multiple wallets</t>
        </is>
      </c>
      <c r="E81" s="26" t="inlineStr">
        <is>
          <t>Negative</t>
        </is>
      </c>
      <c r="F81" s="26" t="inlineStr">
        <is>
          <t>Single wallet receives 2,000</t>
        </is>
      </c>
      <c r="G81" s="26" t="inlineStr">
        <is>
          <t>No alert</t>
        </is>
      </c>
      <c r="H81" s="26" t="inlineStr">
        <is>
          <t>High</t>
        </is>
      </c>
      <c r="I81" s="26" t="inlineStr">
        <is>
          <t>P1</t>
        </is>
      </c>
      <c r="J81" s="28" t="inlineStr">
        <is>
          <t>Pass</t>
        </is>
      </c>
      <c r="K81" s="29" t="inlineStr">
        <is>
          <t>Single wallet receives 2,000 → 0 alerts.</t>
        </is>
      </c>
      <c r="L81" s="29" t="inlineStr">
        <is>
          <t>Claude (automated test suite)</t>
        </is>
      </c>
      <c r="M81" s="29" t="inlineStr">
        <is>
          <t>2026-10-15</t>
        </is>
      </c>
      <c r="N81" s="29" t="n"/>
      <c r="O81" s="29" t="inlineStr">
        <is>
          <t>Automated: StructuringTests.STR_04_multiple_own_wallets</t>
        </is>
      </c>
    </row>
    <row r="82" ht="15" customHeight="1" s="16">
      <c r="A82" s="26" t="inlineStr">
        <is>
          <t>TM-STR-04-03</t>
        </is>
      </c>
      <c r="B82" s="26" t="inlineStr">
        <is>
          <t>Structuring &amp; Smurfing</t>
        </is>
      </c>
      <c r="C82" s="26" t="inlineStr">
        <is>
          <t>STR-04</t>
        </is>
      </c>
      <c r="D82" s="26" t="inlineStr">
        <is>
          <t>Splitting across own multiple wallets</t>
        </is>
      </c>
      <c r="E82" s="26" t="inlineStr">
        <is>
          <t>Edge</t>
        </is>
      </c>
      <c r="F82" s="26" t="inlineStr">
        <is>
          <t>Wallets linked only by device, not ID</t>
        </is>
      </c>
      <c r="G82" s="26" t="inlineStr">
        <is>
          <t>Alert with entity-resolution confidence shown</t>
        </is>
      </c>
      <c r="H82" s="26" t="inlineStr">
        <is>
          <t>High</t>
        </is>
      </c>
      <c r="I82" s="26" t="inlineStr">
        <is>
          <t>P1</t>
        </is>
      </c>
      <c r="J82" s="28" t="inlineStr">
        <is>
          <t>Pass</t>
        </is>
      </c>
      <c r="K82" s="29" t="inlineStr">
        <is>
          <t>Three customer records linked by a shared device (entity link, confidence 0.6000) each receiving 2,000 → entity-level rule (subject Entity, minimum confidence 0.6) aggregates 6,000 → 1 alert; members, link type and confidence in evidence: True.</t>
        </is>
      </c>
      <c r="L82" s="29" t="inlineStr">
        <is>
          <t>Claude (automated test suite)</t>
        </is>
      </c>
      <c r="M82" s="29" t="inlineStr">
        <is>
          <t>2026-10-15</t>
        </is>
      </c>
      <c r="N82" s="29" t="inlineStr">
        <is>
          <t>DEF-TM-03 (fixed)</t>
        </is>
      </c>
      <c r="O82" s="29" t="inlineStr">
        <is>
          <t>Automated: StructuringTests.STR_04_multiple_own_wallets. Failed in the first execution (DEF-TM-03: Entity-resolution links not usable by rules or shown in evidence); fixed: Subject 'Entity' (linked customers, minimum confidence) and linkedParties in alert evidence; re-tested 2026-10-15.</t>
        </is>
      </c>
    </row>
    <row r="83" ht="15" customHeight="1" s="16">
      <c r="A83" s="26" t="inlineStr">
        <is>
          <t>TM-STR-05-01</t>
        </is>
      </c>
      <c r="B83" s="26" t="inlineStr">
        <is>
          <t>Structuring &amp; Smurfing</t>
        </is>
      </c>
      <c r="C83" s="26" t="inlineStr">
        <is>
          <t>STR-05</t>
        </is>
      </c>
      <c r="D83" s="26" t="inlineStr">
        <is>
          <t>Repeated amount just below wallet limit</t>
        </is>
      </c>
      <c r="E83" s="26" t="inlineStr">
        <is>
          <t>Positive</t>
        </is>
      </c>
      <c r="F83" s="26" t="inlineStr">
        <is>
          <t>Limit 1,000; transfers of 990, 995, 999 in 5 days</t>
        </is>
      </c>
      <c r="G83" s="26" t="inlineStr">
        <is>
          <t>Alert raised</t>
        </is>
      </c>
      <c r="H83" s="26" t="inlineStr">
        <is>
          <t>Medium</t>
        </is>
      </c>
      <c r="I83" s="26" t="inlineStr">
        <is>
          <t>P1</t>
        </is>
      </c>
      <c r="J83" s="28" t="inlineStr">
        <is>
          <t>Pass</t>
        </is>
      </c>
      <c r="K83" s="29" t="inlineStr">
        <is>
          <t>Limit 1,000 (98–100% band configured in the rule); 990/995/999 within 5 days → 1 alert.</t>
        </is>
      </c>
      <c r="L83" s="29" t="inlineStr">
        <is>
          <t>Claude (automated test suite)</t>
        </is>
      </c>
      <c r="M83" s="29" t="inlineStr">
        <is>
          <t>2026-10-15</t>
        </is>
      </c>
      <c r="N83" s="29" t="n"/>
      <c r="O83" s="29" t="inlineStr">
        <is>
          <t>Automated: StructuringTests.STR_05_just_below_own_limit. Note: a per-customer limit attribute cannot be referenced; the band is a rule parameter.</t>
        </is>
      </c>
    </row>
    <row r="84" ht="15" customHeight="1" s="16">
      <c r="A84" s="26" t="inlineStr">
        <is>
          <t>TM-STR-05-02</t>
        </is>
      </c>
      <c r="B84" s="26" t="inlineStr">
        <is>
          <t>Structuring &amp; Smurfing</t>
        </is>
      </c>
      <c r="C84" s="26" t="inlineStr">
        <is>
          <t>STR-05</t>
        </is>
      </c>
      <c r="D84" s="26" t="inlineStr">
        <is>
          <t>Repeated amount just below wallet limit</t>
        </is>
      </c>
      <c r="E84" s="26" t="inlineStr">
        <is>
          <t>Negative</t>
        </is>
      </c>
      <c r="F84" s="26" t="inlineStr">
        <is>
          <t>Transfers of 500</t>
        </is>
      </c>
      <c r="G84" s="26" t="inlineStr">
        <is>
          <t>No alert</t>
        </is>
      </c>
      <c r="H84" s="26" t="inlineStr">
        <is>
          <t>Medium</t>
        </is>
      </c>
      <c r="I84" s="26" t="inlineStr">
        <is>
          <t>P1</t>
        </is>
      </c>
      <c r="J84" s="28" t="inlineStr">
        <is>
          <t>Pass</t>
        </is>
      </c>
      <c r="K84" s="29" t="inlineStr">
        <is>
          <t>Transfers of 500 → 0 alerts.</t>
        </is>
      </c>
      <c r="L84" s="29" t="inlineStr">
        <is>
          <t>Claude (automated test suite)</t>
        </is>
      </c>
      <c r="M84" s="29" t="inlineStr">
        <is>
          <t>2026-10-15</t>
        </is>
      </c>
      <c r="N84" s="29" t="n"/>
      <c r="O84" s="29" t="inlineStr">
        <is>
          <t>Automated: StructuringTests.STR_05_just_below_own_limit</t>
        </is>
      </c>
    </row>
    <row r="85" ht="15" customHeight="1" s="16">
      <c r="A85" s="26" t="inlineStr">
        <is>
          <t>TM-STR-05-03</t>
        </is>
      </c>
      <c r="B85" s="26" t="inlineStr">
        <is>
          <t>Structuring &amp; Smurfing</t>
        </is>
      </c>
      <c r="C85" s="26" t="inlineStr">
        <is>
          <t>STR-05</t>
        </is>
      </c>
      <c r="D85" s="26" t="inlineStr">
        <is>
          <t>Repeated amount just below wallet limit</t>
        </is>
      </c>
      <c r="E85" s="26" t="inlineStr">
        <is>
          <t>Boundary</t>
        </is>
      </c>
      <c r="F85" s="26" t="inlineStr">
        <is>
          <t>Two transfers at 999</t>
        </is>
      </c>
      <c r="G85" s="26" t="inlineStr">
        <is>
          <t>No alert</t>
        </is>
      </c>
      <c r="H85" s="26" t="inlineStr">
        <is>
          <t>Medium</t>
        </is>
      </c>
      <c r="I85" s="26" t="inlineStr">
        <is>
          <t>P1</t>
        </is>
      </c>
      <c r="J85" s="28" t="inlineStr">
        <is>
          <t>Pass</t>
        </is>
      </c>
      <c r="K85" s="29" t="inlineStr">
        <is>
          <t>Two transfers at 999 → 0 alerts.</t>
        </is>
      </c>
      <c r="L85" s="29" t="inlineStr">
        <is>
          <t>Claude (automated test suite)</t>
        </is>
      </c>
      <c r="M85" s="29" t="inlineStr">
        <is>
          <t>2026-10-15</t>
        </is>
      </c>
      <c r="N85" s="29" t="n"/>
      <c r="O85" s="29" t="inlineStr">
        <is>
          <t>Automated: StructuringTests.STR_05_just_below_own_limit</t>
        </is>
      </c>
    </row>
    <row r="86" ht="22.35" customHeight="1" s="16">
      <c r="A86" s="26" t="inlineStr">
        <is>
          <t>TM-STR-06-01</t>
        </is>
      </c>
      <c r="B86" s="26" t="inlineStr">
        <is>
          <t>Structuring &amp; Smurfing</t>
        </is>
      </c>
      <c r="C86" s="26" t="inlineStr">
        <is>
          <t>STR-06</t>
        </is>
      </c>
      <c r="D86" s="26" t="inlineStr">
        <is>
          <t>Structuring across consecutive days</t>
        </is>
      </c>
      <c r="E86" s="26" t="inlineStr">
        <is>
          <t>Positive</t>
        </is>
      </c>
      <c r="F86" s="26" t="inlineStr">
        <is>
          <t>Daily totals of 4,600, 4,800, 4,700, 4,950 (limit 5,000) on 4 consecutive days</t>
        </is>
      </c>
      <c r="G86" s="26" t="inlineStr">
        <is>
          <t>Alert raised</t>
        </is>
      </c>
      <c r="H86" s="26" t="inlineStr">
        <is>
          <t>Medium</t>
        </is>
      </c>
      <c r="I86" s="26" t="inlineStr">
        <is>
          <t>P2</t>
        </is>
      </c>
      <c r="J86" s="28" t="inlineStr">
        <is>
          <t>Pass</t>
        </is>
      </c>
      <c r="K86" s="29" t="inlineStr">
        <is>
          <t>Daily totals 4,600, 4,800, 4,700, 4,950 (limit 5,000, band 90–100%) on 4 consecutive days → 1 alert; daily totals in evidence.</t>
        </is>
      </c>
      <c r="L86" s="29" t="inlineStr">
        <is>
          <t>Claude (automated test suite)</t>
        </is>
      </c>
      <c r="M86" s="29" t="inlineStr">
        <is>
          <t>2026-10-15</t>
        </is>
      </c>
      <c r="N86" s="29" t="n"/>
      <c r="O86" s="29" t="inlineStr">
        <is>
          <t>Automated: ExtendedCapabilityTests.STR_06_consecutive_days_below_limit. Blocked in the first execution (capability gap); executable after the rule DSL extension.</t>
        </is>
      </c>
    </row>
    <row r="87" ht="15" customHeight="1" s="16">
      <c r="A87" s="26" t="inlineStr">
        <is>
          <t>TM-STR-06-02</t>
        </is>
      </c>
      <c r="B87" s="26" t="inlineStr">
        <is>
          <t>Structuring &amp; Smurfing</t>
        </is>
      </c>
      <c r="C87" s="26" t="inlineStr">
        <is>
          <t>STR-06</t>
        </is>
      </c>
      <c r="D87" s="26" t="inlineStr">
        <is>
          <t>Structuring across consecutive days</t>
        </is>
      </c>
      <c r="E87" s="26" t="inlineStr">
        <is>
          <t>Negative</t>
        </is>
      </c>
      <c r="F87" s="26" t="inlineStr">
        <is>
          <t>Same totals on non-consecutive days</t>
        </is>
      </c>
      <c r="G87" s="26" t="inlineStr">
        <is>
          <t>No alert</t>
        </is>
      </c>
      <c r="H87" s="26" t="inlineStr">
        <is>
          <t>Medium</t>
        </is>
      </c>
      <c r="I87" s="26" t="inlineStr">
        <is>
          <t>P2</t>
        </is>
      </c>
      <c r="J87" s="28" t="inlineStr">
        <is>
          <t>Pass</t>
        </is>
      </c>
      <c r="K87" s="29" t="inlineStr">
        <is>
          <t>Same totals on alternate days → 0 alerts.</t>
        </is>
      </c>
      <c r="L87" s="29" t="inlineStr">
        <is>
          <t>Claude (automated test suite)</t>
        </is>
      </c>
      <c r="M87" s="29" t="inlineStr">
        <is>
          <t>2026-10-15</t>
        </is>
      </c>
      <c r="N87" s="29" t="n"/>
      <c r="O87" s="29" t="inlineStr">
        <is>
          <t>Automated: ExtendedCapabilityTests.STR_06_consecutive_days_below_limit. Blocked in the first execution (capability gap); executable after the rule DSL extension.</t>
        </is>
      </c>
    </row>
    <row r="88" ht="15" customHeight="1" s="16">
      <c r="A88" s="26" t="inlineStr">
        <is>
          <t>TM-STR-06-03</t>
        </is>
      </c>
      <c r="B88" s="26" t="inlineStr">
        <is>
          <t>Structuring &amp; Smurfing</t>
        </is>
      </c>
      <c r="C88" s="26" t="inlineStr">
        <is>
          <t>STR-06</t>
        </is>
      </c>
      <c r="D88" s="26" t="inlineStr">
        <is>
          <t>Structuring across consecutive days</t>
        </is>
      </c>
      <c r="E88" s="26" t="inlineStr">
        <is>
          <t>Boundary</t>
        </is>
      </c>
      <c r="F88" s="26" t="inlineStr">
        <is>
          <t>3 consecutive days</t>
        </is>
      </c>
      <c r="G88" s="26" t="inlineStr">
        <is>
          <t>No alert</t>
        </is>
      </c>
      <c r="H88" s="26" t="inlineStr">
        <is>
          <t>Medium</t>
        </is>
      </c>
      <c r="I88" s="26" t="inlineStr">
        <is>
          <t>P2</t>
        </is>
      </c>
      <c r="J88" s="28" t="inlineStr">
        <is>
          <t>Pass</t>
        </is>
      </c>
      <c r="K88" s="29" t="inlineStr">
        <is>
          <t>3 consecutive days → 0 alerts.</t>
        </is>
      </c>
      <c r="L88" s="29" t="inlineStr">
        <is>
          <t>Claude (automated test suite)</t>
        </is>
      </c>
      <c r="M88" s="29" t="inlineStr">
        <is>
          <t>2026-10-15</t>
        </is>
      </c>
      <c r="N88" s="29" t="n"/>
      <c r="O88" s="29" t="inlineStr">
        <is>
          <t>Automated: ExtendedCapabilityTests.STR_06_consecutive_days_below_limit. Blocked in the first execution (capability gap); executable after the rule DSL extension.</t>
        </is>
      </c>
    </row>
    <row r="89" ht="22.35" customHeight="1" s="16">
      <c r="A89" s="26" t="inlineStr">
        <is>
          <t>TM-RMV-01-01</t>
        </is>
      </c>
      <c r="B89" s="26" t="inlineStr">
        <is>
          <t>Rapid Movement &amp; Pass-through</t>
        </is>
      </c>
      <c r="C89" s="26" t="inlineStr">
        <is>
          <t>RMV-01</t>
        </is>
      </c>
      <c r="D89" s="26" t="inlineStr">
        <is>
          <t>Rapid in-and-out (pass-through)</t>
        </is>
      </c>
      <c r="E89" s="26" t="inlineStr">
        <is>
          <t>Positive</t>
        </is>
      </c>
      <c r="F89" s="26" t="inlineStr">
        <is>
          <t>C10 receives 2,000 at 10:00 and sends 1,900 at 10:25</t>
        </is>
      </c>
      <c r="G89" s="26" t="inlineStr">
        <is>
          <t>Alert raised; in/out pair in evidence</t>
        </is>
      </c>
      <c r="H89" s="26" t="inlineStr">
        <is>
          <t>High</t>
        </is>
      </c>
      <c r="I89" s="26" t="inlineStr">
        <is>
          <t>P1</t>
        </is>
      </c>
      <c r="J89" s="28" t="inlineStr">
        <is>
          <t>Pass</t>
        </is>
      </c>
      <c r="K89" s="29" t="inlineStr">
        <is>
          <t>Received 2,000 at 10:00, sent 1,900 at 10:25 → 1 alert; in/out pair linked in evidence.</t>
        </is>
      </c>
      <c r="L89" s="29" t="inlineStr">
        <is>
          <t>Claude (automated test suite)</t>
        </is>
      </c>
      <c r="M89" s="29" t="inlineStr">
        <is>
          <t>2026-10-15</t>
        </is>
      </c>
      <c r="N89" s="29" t="n"/>
      <c r="O89" s="29" t="inlineStr">
        <is>
          <t>Automated: RapidMovementFanTests.RMV_01_pass_through</t>
        </is>
      </c>
    </row>
    <row r="90" ht="22.35" customHeight="1" s="16">
      <c r="A90" s="26" t="inlineStr">
        <is>
          <t>TM-RMV-01-02</t>
        </is>
      </c>
      <c r="B90" s="26" t="inlineStr">
        <is>
          <t>Rapid Movement &amp; Pass-through</t>
        </is>
      </c>
      <c r="C90" s="26" t="inlineStr">
        <is>
          <t>RMV-01</t>
        </is>
      </c>
      <c r="D90" s="26" t="inlineStr">
        <is>
          <t>Rapid in-and-out (pass-through)</t>
        </is>
      </c>
      <c r="E90" s="26" t="inlineStr">
        <is>
          <t>Boundary</t>
        </is>
      </c>
      <c r="F90" s="26" t="inlineStr">
        <is>
          <t>Outgoing at 61 minutes</t>
        </is>
      </c>
      <c r="G90" s="26" t="inlineStr">
        <is>
          <t>No alert</t>
        </is>
      </c>
      <c r="H90" s="26" t="inlineStr">
        <is>
          <t>High</t>
        </is>
      </c>
      <c r="I90" s="26" t="inlineStr">
        <is>
          <t>P1</t>
        </is>
      </c>
      <c r="J90" s="28" t="inlineStr">
        <is>
          <t>Pass</t>
        </is>
      </c>
      <c r="K90" s="29" t="inlineStr">
        <is>
          <t>Outgoing at 61 minutes → 0 alerts.</t>
        </is>
      </c>
      <c r="L90" s="29" t="inlineStr">
        <is>
          <t>Claude (automated test suite)</t>
        </is>
      </c>
      <c r="M90" s="29" t="inlineStr">
        <is>
          <t>2026-10-15</t>
        </is>
      </c>
      <c r="N90" s="29" t="n"/>
      <c r="O90" s="29" t="inlineStr">
        <is>
          <t>Automated: RapidMovementFanTests.RMV_01_pass_through</t>
        </is>
      </c>
    </row>
    <row r="91" ht="22.35" customHeight="1" s="16">
      <c r="A91" s="26" t="inlineStr">
        <is>
          <t>TM-RMV-01-03</t>
        </is>
      </c>
      <c r="B91" s="26" t="inlineStr">
        <is>
          <t>Rapid Movement &amp; Pass-through</t>
        </is>
      </c>
      <c r="C91" s="26" t="inlineStr">
        <is>
          <t>RMV-01</t>
        </is>
      </c>
      <c r="D91" s="26" t="inlineStr">
        <is>
          <t>Rapid in-and-out (pass-through)</t>
        </is>
      </c>
      <c r="E91" s="26" t="inlineStr">
        <is>
          <t>Boundary</t>
        </is>
      </c>
      <c r="F91" s="26" t="inlineStr">
        <is>
          <t>Outgoing 89% of incoming</t>
        </is>
      </c>
      <c r="G91" s="26" t="inlineStr">
        <is>
          <t>No alert</t>
        </is>
      </c>
      <c r="H91" s="26" t="inlineStr">
        <is>
          <t>High</t>
        </is>
      </c>
      <c r="I91" s="26" t="inlineStr">
        <is>
          <t>P1</t>
        </is>
      </c>
      <c r="J91" s="28" t="inlineStr">
        <is>
          <t>Pass</t>
        </is>
      </c>
      <c r="K91" s="29" t="inlineStr">
        <is>
          <t>Outgoing 89% of incoming → 0 alerts.</t>
        </is>
      </c>
      <c r="L91" s="29" t="inlineStr">
        <is>
          <t>Claude (automated test suite)</t>
        </is>
      </c>
      <c r="M91" s="29" t="inlineStr">
        <is>
          <t>2026-10-15</t>
        </is>
      </c>
      <c r="N91" s="29" t="n"/>
      <c r="O91" s="29" t="inlineStr">
        <is>
          <t>Automated: RapidMovementFanTests.RMV_01_pass_through</t>
        </is>
      </c>
    </row>
    <row r="92" ht="22.35" customHeight="1" s="16">
      <c r="A92" s="26" t="inlineStr">
        <is>
          <t>TM-RMV-01-04</t>
        </is>
      </c>
      <c r="B92" s="26" t="inlineStr">
        <is>
          <t>Rapid Movement &amp; Pass-through</t>
        </is>
      </c>
      <c r="C92" s="26" t="inlineStr">
        <is>
          <t>RMV-01</t>
        </is>
      </c>
      <c r="D92" s="26" t="inlineStr">
        <is>
          <t>Rapid in-and-out (pass-through)</t>
        </is>
      </c>
      <c r="E92" s="26" t="inlineStr">
        <is>
          <t>Negative</t>
        </is>
      </c>
      <c r="F92" s="26" t="inlineStr">
        <is>
          <t>Receives 300, sends 290</t>
        </is>
      </c>
      <c r="G92" s="26" t="inlineStr">
        <is>
          <t>Below minimum amount; no alert</t>
        </is>
      </c>
      <c r="H92" s="26" t="inlineStr">
        <is>
          <t>High</t>
        </is>
      </c>
      <c r="I92" s="26" t="inlineStr">
        <is>
          <t>P1</t>
        </is>
      </c>
      <c r="J92" s="28" t="inlineStr">
        <is>
          <t>Pass</t>
        </is>
      </c>
      <c r="K92" s="29" t="inlineStr">
        <is>
          <t>Received 300 (&lt; minimum 500), sent 290 → 0 alerts.</t>
        </is>
      </c>
      <c r="L92" s="29" t="inlineStr">
        <is>
          <t>Claude (automated test suite)</t>
        </is>
      </c>
      <c r="M92" s="29" t="inlineStr">
        <is>
          <t>2026-10-15</t>
        </is>
      </c>
      <c r="N92" s="29" t="n"/>
      <c r="O92" s="29" t="inlineStr">
        <is>
          <t>Automated: RapidMovementFanTests.RMV_01_pass_through</t>
        </is>
      </c>
    </row>
    <row r="93" ht="22.35" customHeight="1" s="16">
      <c r="A93" s="26" t="inlineStr">
        <is>
          <t>TM-RMV-01-05</t>
        </is>
      </c>
      <c r="B93" s="26" t="inlineStr">
        <is>
          <t>Rapid Movement &amp; Pass-through</t>
        </is>
      </c>
      <c r="C93" s="26" t="inlineStr">
        <is>
          <t>RMV-01</t>
        </is>
      </c>
      <c r="D93" s="26" t="inlineStr">
        <is>
          <t>Rapid in-and-out (pass-through)</t>
        </is>
      </c>
      <c r="E93" s="26" t="inlineStr">
        <is>
          <t>Edge</t>
        </is>
      </c>
      <c r="F93" s="26" t="inlineStr">
        <is>
          <t>Out split into 4 transfers totalling 95%</t>
        </is>
      </c>
      <c r="G93" s="26" t="inlineStr">
        <is>
          <t>Aggregated; alert raised</t>
        </is>
      </c>
      <c r="H93" s="26" t="inlineStr">
        <is>
          <t>High</t>
        </is>
      </c>
      <c r="I93" s="26" t="inlineStr">
        <is>
          <t>P1</t>
        </is>
      </c>
      <c r="J93" s="28" t="inlineStr">
        <is>
          <t>Pass</t>
        </is>
      </c>
      <c r="K93" s="29" t="inlineStr">
        <is>
          <t>Outflow split into 4 transfers totalling 95% within 60 min → aggregated → 1 alert.</t>
        </is>
      </c>
      <c r="L93" s="29" t="inlineStr">
        <is>
          <t>Claude (automated test suite)</t>
        </is>
      </c>
      <c r="M93" s="29" t="inlineStr">
        <is>
          <t>2026-10-15</t>
        </is>
      </c>
      <c r="N93" s="29" t="n"/>
      <c r="O93" s="29" t="inlineStr">
        <is>
          <t>Automated: RapidMovementFanTests.RMV_01_pass_through</t>
        </is>
      </c>
    </row>
    <row r="94" ht="22.35" customHeight="1" s="16">
      <c r="A94" s="26" t="inlineStr">
        <is>
          <t>TM-RMV-02-01</t>
        </is>
      </c>
      <c r="B94" s="26" t="inlineStr">
        <is>
          <t>Rapid Movement &amp; Pass-through</t>
        </is>
      </c>
      <c r="C94" s="26" t="inlineStr">
        <is>
          <t>RMV-02</t>
        </is>
      </c>
      <c r="D94" s="26" t="inlineStr">
        <is>
          <t>Balance kept near zero</t>
        </is>
      </c>
      <c r="E94" s="26" t="inlineStr">
        <is>
          <t>Positive</t>
        </is>
      </c>
      <c r="F94" s="26" t="inlineStr">
        <is>
          <t>Monthly in/out 6,000 with end-of-day balance always &lt; 5</t>
        </is>
      </c>
      <c r="G94" s="26" t="inlineStr">
        <is>
          <t>Alert raised</t>
        </is>
      </c>
      <c r="H94" s="26" t="inlineStr">
        <is>
          <t>Medium</t>
        </is>
      </c>
      <c r="I94" s="26" t="inlineStr">
        <is>
          <t>P1</t>
        </is>
      </c>
      <c r="J94" s="30" t="inlineStr">
        <is>
          <t>Blocked</t>
        </is>
      </c>
      <c r="K94" s="29" t="inlineStr">
        <is>
          <t>Capability gap — Wallet balances / end-of-day balances are not ingested or available to rules. Closest rule definition rejected by the rule validator: $.condition.conditions[0].field: Unknown field 'wallet.endOfDayBalance': not present in the data-source registry..</t>
        </is>
      </c>
      <c r="L94" s="29" t="inlineStr">
        <is>
          <t>Claude (automated test suite)</t>
        </is>
      </c>
      <c r="M94" s="29" t="inlineStr">
        <is>
          <t>2026-10-15</t>
        </is>
      </c>
      <c r="N94" s="29" t="inlineStr">
        <is>
          <t>GAP-RMV-02</t>
        </is>
      </c>
      <c r="O94" s="29" t="inlineStr">
        <is>
          <t>Automated: CapabilityGapTests.Scenario_not_configurable (rule validator evidence)</t>
        </is>
      </c>
    </row>
    <row r="95" ht="22.35" customHeight="1" s="16">
      <c r="A95" s="26" t="inlineStr">
        <is>
          <t>TM-RMV-02-02</t>
        </is>
      </c>
      <c r="B95" s="26" t="inlineStr">
        <is>
          <t>Rapid Movement &amp; Pass-through</t>
        </is>
      </c>
      <c r="C95" s="26" t="inlineStr">
        <is>
          <t>RMV-02</t>
        </is>
      </c>
      <c r="D95" s="26" t="inlineStr">
        <is>
          <t>Balance kept near zero</t>
        </is>
      </c>
      <c r="E95" s="26" t="inlineStr">
        <is>
          <t>Negative</t>
        </is>
      </c>
      <c r="F95" s="26" t="inlineStr">
        <is>
          <t>Throughput 1,000</t>
        </is>
      </c>
      <c r="G95" s="26" t="inlineStr">
        <is>
          <t>No alert</t>
        </is>
      </c>
      <c r="H95" s="26" t="inlineStr">
        <is>
          <t>Medium</t>
        </is>
      </c>
      <c r="I95" s="26" t="inlineStr">
        <is>
          <t>P1</t>
        </is>
      </c>
      <c r="J95" s="30" t="inlineStr">
        <is>
          <t>Blocked</t>
        </is>
      </c>
      <c r="K95" s="29" t="inlineStr">
        <is>
          <t>Capability gap — Wallet balances / end-of-day balances are not ingested or available to rules. Closest rule definition rejected by the rule validator: $.condition.conditions[0].field: Unknown field 'wallet.endOfDayBalance': not present in the data-source registry..</t>
        </is>
      </c>
      <c r="L95" s="29" t="inlineStr">
        <is>
          <t>Claude (automated test suite)</t>
        </is>
      </c>
      <c r="M95" s="29" t="inlineStr">
        <is>
          <t>2026-10-15</t>
        </is>
      </c>
      <c r="N95" s="29" t="inlineStr">
        <is>
          <t>GAP-RMV-02</t>
        </is>
      </c>
      <c r="O95" s="29" t="inlineStr">
        <is>
          <t>Automated: CapabilityGapTests.Scenario_not_configurable (rule validator evidence)</t>
        </is>
      </c>
    </row>
    <row r="96" ht="22.35" customHeight="1" s="16">
      <c r="A96" s="26" t="inlineStr">
        <is>
          <t>TM-RMV-02-03</t>
        </is>
      </c>
      <c r="B96" s="26" t="inlineStr">
        <is>
          <t>Rapid Movement &amp; Pass-through</t>
        </is>
      </c>
      <c r="C96" s="26" t="inlineStr">
        <is>
          <t>RMV-02</t>
        </is>
      </c>
      <c r="D96" s="26" t="inlineStr">
        <is>
          <t>Balance kept near zero</t>
        </is>
      </c>
      <c r="E96" s="26" t="inlineStr">
        <is>
          <t>Edge</t>
        </is>
      </c>
      <c r="F96" s="26" t="inlineStr">
        <is>
          <t>Balance data unavailable from core</t>
        </is>
      </c>
      <c r="G96" s="26" t="inlineStr">
        <is>
          <t>Rule marked not evaluated; data-quality item</t>
        </is>
      </c>
      <c r="H96" s="26" t="inlineStr">
        <is>
          <t>Medium</t>
        </is>
      </c>
      <c r="I96" s="26" t="inlineStr">
        <is>
          <t>P1</t>
        </is>
      </c>
      <c r="J96" s="30" t="inlineStr">
        <is>
          <t>Blocked</t>
        </is>
      </c>
      <c r="K96" s="29" t="inlineStr">
        <is>
          <t>Capability gap — Wallet balances / end-of-day balances are not ingested or available to rules. Closest rule definition rejected by the rule validator: $.condition.conditions[0].field: Unknown field 'wallet.endOfDayBalance': not present in the data-source registry..</t>
        </is>
      </c>
      <c r="L96" s="29" t="inlineStr">
        <is>
          <t>Claude (automated test suite)</t>
        </is>
      </c>
      <c r="M96" s="29" t="inlineStr">
        <is>
          <t>2026-10-15</t>
        </is>
      </c>
      <c r="N96" s="29" t="inlineStr">
        <is>
          <t>GAP-RMV-02</t>
        </is>
      </c>
      <c r="O96" s="29" t="inlineStr">
        <is>
          <t>Automated: CapabilityGapTests.Scenario_not_configurable (rule validator evidence)</t>
        </is>
      </c>
    </row>
    <row r="97" ht="22.35" customHeight="1" s="16">
      <c r="A97" s="26" t="inlineStr">
        <is>
          <t>TM-RMV-03-01</t>
        </is>
      </c>
      <c r="B97" s="26" t="inlineStr">
        <is>
          <t>Rapid Movement &amp; Pass-through</t>
        </is>
      </c>
      <c r="C97" s="26" t="inlineStr">
        <is>
          <t>RMV-03</t>
        </is>
      </c>
      <c r="D97" s="26" t="inlineStr">
        <is>
          <t>Incoming then immediate cash-out</t>
        </is>
      </c>
      <c r="E97" s="26" t="inlineStr">
        <is>
          <t>Positive</t>
        </is>
      </c>
      <c r="F97" s="26" t="inlineStr">
        <is>
          <t>Receives 1,500 transfer, withdraws 1,400 at agent 40 minutes later</t>
        </is>
      </c>
      <c r="G97" s="26" t="inlineStr">
        <is>
          <t>Alert raised</t>
        </is>
      </c>
      <c r="H97" s="26" t="inlineStr">
        <is>
          <t>High</t>
        </is>
      </c>
      <c r="I97" s="26" t="inlineStr">
        <is>
          <t>P1</t>
        </is>
      </c>
      <c r="J97" s="28" t="inlineStr">
        <is>
          <t>Pass</t>
        </is>
      </c>
      <c r="K97" s="29" t="inlineStr">
        <is>
          <t>Received 1,500 transfer, cashed out 1,400 at agent 40 min later → 1 alert.</t>
        </is>
      </c>
      <c r="L97" s="29" t="inlineStr">
        <is>
          <t>Claude (automated test suite)</t>
        </is>
      </c>
      <c r="M97" s="29" t="inlineStr">
        <is>
          <t>2026-10-15</t>
        </is>
      </c>
      <c r="N97" s="29" t="n"/>
      <c r="O97" s="29" t="inlineStr">
        <is>
          <t>Automated: RapidMovementFanTests.RMV_03_incoming_then_cash_out. Note: the outgoing leg cannot be restricted to cash-out type in the DSL (any outflow counts).</t>
        </is>
      </c>
    </row>
    <row r="98" ht="22.35" customHeight="1" s="16">
      <c r="A98" s="26" t="inlineStr">
        <is>
          <t>TM-RMV-03-02</t>
        </is>
      </c>
      <c r="B98" s="26" t="inlineStr">
        <is>
          <t>Rapid Movement &amp; Pass-through</t>
        </is>
      </c>
      <c r="C98" s="26" t="inlineStr">
        <is>
          <t>RMV-03</t>
        </is>
      </c>
      <c r="D98" s="26" t="inlineStr">
        <is>
          <t>Incoming then immediate cash-out</t>
        </is>
      </c>
      <c r="E98" s="26" t="inlineStr">
        <is>
          <t>Negative</t>
        </is>
      </c>
      <c r="F98" s="26" t="inlineStr">
        <is>
          <t>Withdraws after 3 days</t>
        </is>
      </c>
      <c r="G98" s="26" t="inlineStr">
        <is>
          <t>No alert</t>
        </is>
      </c>
      <c r="H98" s="26" t="inlineStr">
        <is>
          <t>High</t>
        </is>
      </c>
      <c r="I98" s="26" t="inlineStr">
        <is>
          <t>P1</t>
        </is>
      </c>
      <c r="J98" s="28" t="inlineStr">
        <is>
          <t>Pass</t>
        </is>
      </c>
      <c r="K98" s="29" t="inlineStr">
        <is>
          <t>Withdrawal after 3 days → 0 alerts.</t>
        </is>
      </c>
      <c r="L98" s="29" t="inlineStr">
        <is>
          <t>Claude (automated test suite)</t>
        </is>
      </c>
      <c r="M98" s="29" t="inlineStr">
        <is>
          <t>2026-10-15</t>
        </is>
      </c>
      <c r="N98" s="29" t="n"/>
      <c r="O98" s="29" t="inlineStr">
        <is>
          <t>Automated: RapidMovementFanTests.RMV_03_incoming_then_cash_out</t>
        </is>
      </c>
    </row>
    <row r="99" ht="22.35" customHeight="1" s="16">
      <c r="A99" s="26" t="inlineStr">
        <is>
          <t>TM-RMV-03-03</t>
        </is>
      </c>
      <c r="B99" s="26" t="inlineStr">
        <is>
          <t>Rapid Movement &amp; Pass-through</t>
        </is>
      </c>
      <c r="C99" s="26" t="inlineStr">
        <is>
          <t>RMV-03</t>
        </is>
      </c>
      <c r="D99" s="26" t="inlineStr">
        <is>
          <t>Incoming then immediate cash-out</t>
        </is>
      </c>
      <c r="E99" s="26" t="inlineStr">
        <is>
          <t>Edge</t>
        </is>
      </c>
      <c r="F99" s="26" t="inlineStr">
        <is>
          <t>Cash-out at ATM abroad</t>
        </is>
      </c>
      <c r="G99" s="26" t="inlineStr">
        <is>
          <t>Alert plus geographic flag</t>
        </is>
      </c>
      <c r="H99" s="26" t="inlineStr">
        <is>
          <t>High</t>
        </is>
      </c>
      <c r="I99" s="26" t="inlineStr">
        <is>
          <t>P1</t>
        </is>
      </c>
      <c r="J99" s="28" t="inlineStr">
        <is>
          <t>Pass</t>
        </is>
      </c>
      <c r="K99" s="29" t="inlineStr">
        <is>
          <t>Cash-out at ATM abroad → 1 alert carrying the indicator flag 'Geographic: cash-out abroad' (rule action.indicators); the domestic case has no flag: True.</t>
        </is>
      </c>
      <c r="L99" s="29" t="inlineStr">
        <is>
          <t>Claude (automated test suite)</t>
        </is>
      </c>
      <c r="M99" s="29" t="inlineStr">
        <is>
          <t>2026-10-15</t>
        </is>
      </c>
      <c r="N99" s="29" t="inlineStr">
        <is>
          <t>DEF-TM-04 (fixed)</t>
        </is>
      </c>
      <c r="O99" s="29" t="inlineStr">
        <is>
          <t>Automated: RapidMovementFanTests.RMV_03_incoming_then_cash_out. Failed in the first execution (DEF-TM-04: No secondary indicator flags / severity escalation); fixed: action.indicators (flag + optional severity) and counterparty.* fields; re-tested 2026-10-15.</t>
        </is>
      </c>
    </row>
    <row r="100" ht="22.35" customHeight="1" s="16">
      <c r="A100" s="26" t="inlineStr">
        <is>
          <t>TM-RMV-04-01</t>
        </is>
      </c>
      <c r="B100" s="26" t="inlineStr">
        <is>
          <t>Rapid Movement &amp; Pass-through</t>
        </is>
      </c>
      <c r="C100" s="26" t="inlineStr">
        <is>
          <t>RMV-04</t>
        </is>
      </c>
      <c r="D100" s="26" t="inlineStr">
        <is>
          <t>Layering chain (multi-hop)</t>
        </is>
      </c>
      <c r="E100" s="26" t="inlineStr">
        <is>
          <t>Positive</t>
        </is>
      </c>
      <c r="F100" s="26" t="inlineStr">
        <is>
          <t>A→B 1,000; B→C 950; C→D 920 within 6 hours</t>
        </is>
      </c>
      <c r="G100" s="26" t="inlineStr">
        <is>
          <t>Alert on chain with all hops in evidence</t>
        </is>
      </c>
      <c r="H100" s="26" t="inlineStr">
        <is>
          <t>High</t>
        </is>
      </c>
      <c r="I100" s="26" t="inlineStr">
        <is>
          <t>P2</t>
        </is>
      </c>
      <c r="J100" s="30" t="inlineStr">
        <is>
          <t>Blocked</t>
        </is>
      </c>
      <c r="K100" s="29" t="inlineStr">
        <is>
          <t>Capability gap — cycle detects funds returning to the subject only; no open multi-hop chain (A→B→C→D) with per-hop retention. Closest rule definition rejected by the rule validator: $.condition.aggregate: Unknown aggregate 'chain'.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00" s="29" t="inlineStr">
        <is>
          <t>Claude (automated test suite)</t>
        </is>
      </c>
      <c r="M100" s="29" t="inlineStr">
        <is>
          <t>2026-10-15</t>
        </is>
      </c>
      <c r="N100" s="29" t="inlineStr">
        <is>
          <t>GAP-RMV-04</t>
        </is>
      </c>
      <c r="O100" s="29" t="inlineStr">
        <is>
          <t>Automated: CapabilityGapTests.Scenario_not_configurable (rule validator evidence)</t>
        </is>
      </c>
    </row>
    <row r="101" ht="22.35" customHeight="1" s="16">
      <c r="A101" s="26" t="inlineStr">
        <is>
          <t>TM-RMV-04-02</t>
        </is>
      </c>
      <c r="B101" s="26" t="inlineStr">
        <is>
          <t>Rapid Movement &amp; Pass-through</t>
        </is>
      </c>
      <c r="C101" s="26" t="inlineStr">
        <is>
          <t>RMV-04</t>
        </is>
      </c>
      <c r="D101" s="26" t="inlineStr">
        <is>
          <t>Layering chain (multi-hop)</t>
        </is>
      </c>
      <c r="E101" s="26" t="inlineStr">
        <is>
          <t>Negative</t>
        </is>
      </c>
      <c r="F101" s="26" t="inlineStr">
        <is>
          <t>Hops separated by 3 days</t>
        </is>
      </c>
      <c r="G101" s="26" t="inlineStr">
        <is>
          <t>No alert</t>
        </is>
      </c>
      <c r="H101" s="26" t="inlineStr">
        <is>
          <t>High</t>
        </is>
      </c>
      <c r="I101" s="26" t="inlineStr">
        <is>
          <t>P2</t>
        </is>
      </c>
      <c r="J101" s="30" t="inlineStr">
        <is>
          <t>Blocked</t>
        </is>
      </c>
      <c r="K101" s="29" t="inlineStr">
        <is>
          <t>Capability gap — cycle detects funds returning to the subject only; no open multi-hop chain (A→B→C→D) with per-hop retention. Closest rule definition rejected by the rule validator: $.condition.aggregate: Unknown aggregate 'chain'.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01" s="29" t="inlineStr">
        <is>
          <t>Claude (automated test suite)</t>
        </is>
      </c>
      <c r="M101" s="29" t="inlineStr">
        <is>
          <t>2026-10-15</t>
        </is>
      </c>
      <c r="N101" s="29" t="inlineStr">
        <is>
          <t>GAP-RMV-04</t>
        </is>
      </c>
      <c r="O101" s="29" t="inlineStr">
        <is>
          <t>Automated: CapabilityGapTests.Scenario_not_configurable (rule validator evidence)</t>
        </is>
      </c>
    </row>
    <row r="102" ht="22.35" customHeight="1" s="16">
      <c r="A102" s="26" t="inlineStr">
        <is>
          <t>TM-RMV-04-03</t>
        </is>
      </c>
      <c r="B102" s="26" t="inlineStr">
        <is>
          <t>Rapid Movement &amp; Pass-through</t>
        </is>
      </c>
      <c r="C102" s="26" t="inlineStr">
        <is>
          <t>RMV-04</t>
        </is>
      </c>
      <c r="D102" s="26" t="inlineStr">
        <is>
          <t>Layering chain (multi-hop)</t>
        </is>
      </c>
      <c r="E102" s="26" t="inlineStr">
        <is>
          <t>Boundary</t>
        </is>
      </c>
      <c r="F102" s="26" t="inlineStr">
        <is>
          <t>Only 2 hops</t>
        </is>
      </c>
      <c r="G102" s="26" t="inlineStr">
        <is>
          <t>No alert</t>
        </is>
      </c>
      <c r="H102" s="26" t="inlineStr">
        <is>
          <t>High</t>
        </is>
      </c>
      <c r="I102" s="26" t="inlineStr">
        <is>
          <t>P2</t>
        </is>
      </c>
      <c r="J102" s="30" t="inlineStr">
        <is>
          <t>Blocked</t>
        </is>
      </c>
      <c r="K102" s="29" t="inlineStr">
        <is>
          <t>Capability gap — cycle detects funds returning to the subject only; no open multi-hop chain (A→B→C→D) with per-hop retention. Closest rule definition rejected by the rule validator: $.condition.aggregate: Unknown aggregate 'chain'.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02" s="29" t="inlineStr">
        <is>
          <t>Claude (automated test suite)</t>
        </is>
      </c>
      <c r="M102" s="29" t="inlineStr">
        <is>
          <t>2026-10-15</t>
        </is>
      </c>
      <c r="N102" s="29" t="inlineStr">
        <is>
          <t>GAP-RMV-04</t>
        </is>
      </c>
      <c r="O102" s="29" t="inlineStr">
        <is>
          <t>Automated: CapabilityGapTests.Scenario_not_configurable (rule validator evidence)</t>
        </is>
      </c>
    </row>
    <row r="103" ht="22.35" customHeight="1" s="16">
      <c r="A103" s="26" t="inlineStr">
        <is>
          <t>TM-RMV-04-04</t>
        </is>
      </c>
      <c r="B103" s="26" t="inlineStr">
        <is>
          <t>Rapid Movement &amp; Pass-through</t>
        </is>
      </c>
      <c r="C103" s="26" t="inlineStr">
        <is>
          <t>RMV-04</t>
        </is>
      </c>
      <c r="D103" s="26" t="inlineStr">
        <is>
          <t>Layering chain (multi-hop)</t>
        </is>
      </c>
      <c r="E103" s="26" t="inlineStr">
        <is>
          <t>Edge</t>
        </is>
      </c>
      <c r="F103" s="26" t="inlineStr">
        <is>
          <t>One hop through internal clearing wallet</t>
        </is>
      </c>
      <c r="G103" s="26" t="inlineStr">
        <is>
          <t>Clearing wallet skipped; chain still detected</t>
        </is>
      </c>
      <c r="H103" s="26" t="inlineStr">
        <is>
          <t>High</t>
        </is>
      </c>
      <c r="I103" s="26" t="inlineStr">
        <is>
          <t>P2</t>
        </is>
      </c>
      <c r="J103" s="30" t="inlineStr">
        <is>
          <t>Blocked</t>
        </is>
      </c>
      <c r="K103" s="29" t="inlineStr">
        <is>
          <t>Capability gap — cycle detects funds returning to the subject only; no open multi-hop chain (A→B→C→D) with per-hop retention. Closest rule definition rejected by the rule validator: $.condition.aggregate: Unknown aggregate 'chain'.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03" s="29" t="inlineStr">
        <is>
          <t>Claude (automated test suite)</t>
        </is>
      </c>
      <c r="M103" s="29" t="inlineStr">
        <is>
          <t>2026-10-15</t>
        </is>
      </c>
      <c r="N103" s="29" t="inlineStr">
        <is>
          <t>GAP-RMV-04</t>
        </is>
      </c>
      <c r="O103" s="29" t="inlineStr">
        <is>
          <t>Automated: CapabilityGapTests.Scenario_not_configurable (rule validator evidence)</t>
        </is>
      </c>
    </row>
    <row r="104" ht="22.35" customHeight="1" s="16">
      <c r="A104" s="26" t="inlineStr">
        <is>
          <t>TM-RMV-05-01</t>
        </is>
      </c>
      <c r="B104" s="26" t="inlineStr">
        <is>
          <t>Rapid Movement &amp; Pass-through</t>
        </is>
      </c>
      <c r="C104" s="26" t="inlineStr">
        <is>
          <t>RMV-05</t>
        </is>
      </c>
      <c r="D104" s="26" t="inlineStr">
        <is>
          <t>Loan/credit disbursement moved out immediately</t>
        </is>
      </c>
      <c r="E104" s="26" t="inlineStr">
        <is>
          <t>Positive</t>
        </is>
      </c>
      <c r="F104" s="26" t="inlineStr">
        <is>
          <t>Nano-loan 500 disbursed, 480 sent to third party in 2 hours</t>
        </is>
      </c>
      <c r="G104" s="26" t="inlineStr">
        <is>
          <t>Alert raised</t>
        </is>
      </c>
      <c r="H104" s="26" t="inlineStr">
        <is>
          <t>Medium</t>
        </is>
      </c>
      <c r="I104" s="26" t="inlineStr">
        <is>
          <t>P3</t>
        </is>
      </c>
      <c r="J104" s="28" t="inlineStr">
        <is>
          <t>Pass</t>
        </is>
      </c>
      <c r="K104" s="29" t="inlineStr">
        <is>
          <t>Nano-loan 500 disbursed, 480 sent to third party after 2 h (96%) → 1 alert.</t>
        </is>
      </c>
      <c r="L104" s="29" t="inlineStr">
        <is>
          <t>Claude (automated test suite)</t>
        </is>
      </c>
      <c r="M104" s="29" t="inlineStr">
        <is>
          <t>2026-10-15</t>
        </is>
      </c>
      <c r="N104" s="29" t="n"/>
      <c r="O104" s="29" t="inlineStr">
        <is>
          <t>Automated: RapidMovementFanTests.RMV_05_loan_disbursement_moved_out</t>
        </is>
      </c>
    </row>
    <row r="105" ht="22.35" customHeight="1" s="16">
      <c r="A105" s="26" t="inlineStr">
        <is>
          <t>TM-RMV-05-02</t>
        </is>
      </c>
      <c r="B105" s="26" t="inlineStr">
        <is>
          <t>Rapid Movement &amp; Pass-through</t>
        </is>
      </c>
      <c r="C105" s="26" t="inlineStr">
        <is>
          <t>RMV-05</t>
        </is>
      </c>
      <c r="D105" s="26" t="inlineStr">
        <is>
          <t>Loan/credit disbursement moved out immediately</t>
        </is>
      </c>
      <c r="E105" s="26" t="inlineStr">
        <is>
          <t>Negative</t>
        </is>
      </c>
      <c r="F105" s="26" t="inlineStr">
        <is>
          <t>Disbursement spent gradually at merchants</t>
        </is>
      </c>
      <c r="G105" s="26" t="inlineStr">
        <is>
          <t>No alert</t>
        </is>
      </c>
      <c r="H105" s="26" t="inlineStr">
        <is>
          <t>Medium</t>
        </is>
      </c>
      <c r="I105" s="26" t="inlineStr">
        <is>
          <t>P3</t>
        </is>
      </c>
      <c r="J105" s="28" t="inlineStr">
        <is>
          <t>Pass</t>
        </is>
      </c>
      <c r="K105" s="29" t="inlineStr">
        <is>
          <t>Disbursement spent gradually at merchants over 10 days → 0 alerts.</t>
        </is>
      </c>
      <c r="L105" s="29" t="inlineStr">
        <is>
          <t>Claude (automated test suite)</t>
        </is>
      </c>
      <c r="M105" s="29" t="inlineStr">
        <is>
          <t>2026-10-15</t>
        </is>
      </c>
      <c r="N105" s="29" t="n"/>
      <c r="O105" s="29" t="inlineStr">
        <is>
          <t>Automated: RapidMovementFanTests.RMV_05_loan_disbursement_moved_out</t>
        </is>
      </c>
    </row>
    <row r="106" ht="15" customHeight="1" s="16">
      <c r="A106" s="26" t="inlineStr">
        <is>
          <t>TM-FAN-01-01</t>
        </is>
      </c>
      <c r="B106" s="26" t="inlineStr">
        <is>
          <t>Fan-in / Fan-out</t>
        </is>
      </c>
      <c r="C106" s="26" t="inlineStr">
        <is>
          <t>FAN-01</t>
        </is>
      </c>
      <c r="D106" s="26" t="inlineStr">
        <is>
          <t>Many senders to one receiver (fan-in)</t>
        </is>
      </c>
      <c r="E106" s="26" t="inlineStr">
        <is>
          <t>Positive</t>
        </is>
      </c>
      <c r="F106" s="26" t="inlineStr">
        <is>
          <t>22 distinct senders send to C11 within 5 days</t>
        </is>
      </c>
      <c r="G106" s="26" t="inlineStr">
        <is>
          <t>Alert raised</t>
        </is>
      </c>
      <c r="H106" s="26" t="inlineStr">
        <is>
          <t>High</t>
        </is>
      </c>
      <c r="I106" s="26" t="inlineStr">
        <is>
          <t>P1</t>
        </is>
      </c>
      <c r="J106" s="28" t="inlineStr">
        <is>
          <t>Pass</t>
        </is>
      </c>
      <c r="K106" s="29" t="inlineStr">
        <is>
          <t>22 distinct senders within 5 days → 1 alert.</t>
        </is>
      </c>
      <c r="L106" s="29" t="inlineStr">
        <is>
          <t>Claude (automated test suite)</t>
        </is>
      </c>
      <c r="M106" s="29" t="inlineStr">
        <is>
          <t>2026-10-15</t>
        </is>
      </c>
      <c r="N106" s="29" t="n"/>
      <c r="O106" s="29" t="inlineStr">
        <is>
          <t>Automated: RapidMovementFanTests.FAN_01_fan_in</t>
        </is>
      </c>
    </row>
    <row r="107" ht="15" customHeight="1" s="16">
      <c r="A107" s="26" t="inlineStr">
        <is>
          <t>TM-FAN-01-02</t>
        </is>
      </c>
      <c r="B107" s="26" t="inlineStr">
        <is>
          <t>Fan-in / Fan-out</t>
        </is>
      </c>
      <c r="C107" s="26" t="inlineStr">
        <is>
          <t>FAN-01</t>
        </is>
      </c>
      <c r="D107" s="26" t="inlineStr">
        <is>
          <t>Many senders to one receiver (fan-in)</t>
        </is>
      </c>
      <c r="E107" s="26" t="inlineStr">
        <is>
          <t>Boundary</t>
        </is>
      </c>
      <c r="F107" s="26" t="inlineStr">
        <is>
          <t>19 senders</t>
        </is>
      </c>
      <c r="G107" s="26" t="inlineStr">
        <is>
          <t>No alert</t>
        </is>
      </c>
      <c r="H107" s="26" t="inlineStr">
        <is>
          <t>High</t>
        </is>
      </c>
      <c r="I107" s="26" t="inlineStr">
        <is>
          <t>P1</t>
        </is>
      </c>
      <c r="J107" s="28" t="inlineStr">
        <is>
          <t>Pass</t>
        </is>
      </c>
      <c r="K107" s="29" t="inlineStr">
        <is>
          <t>19 senders → 0 alerts.</t>
        </is>
      </c>
      <c r="L107" s="29" t="inlineStr">
        <is>
          <t>Claude (automated test suite)</t>
        </is>
      </c>
      <c r="M107" s="29" t="inlineStr">
        <is>
          <t>2026-10-15</t>
        </is>
      </c>
      <c r="N107" s="29" t="n"/>
      <c r="O107" s="29" t="inlineStr">
        <is>
          <t>Automated: RapidMovementFanTests.FAN_01_fan_in</t>
        </is>
      </c>
    </row>
    <row r="108" ht="15" customHeight="1" s="16">
      <c r="A108" s="26" t="inlineStr">
        <is>
          <t>TM-FAN-01-03</t>
        </is>
      </c>
      <c r="B108" s="26" t="inlineStr">
        <is>
          <t>Fan-in / Fan-out</t>
        </is>
      </c>
      <c r="C108" s="26" t="inlineStr">
        <is>
          <t>FAN-01</t>
        </is>
      </c>
      <c r="D108" s="26" t="inlineStr">
        <is>
          <t>Many senders to one receiver (fan-in)</t>
        </is>
      </c>
      <c r="E108" s="26" t="inlineStr">
        <is>
          <t>Negative</t>
        </is>
      </c>
      <c r="F108" s="26" t="inlineStr">
        <is>
          <t>Receiver is a registered charity collection wallet with approved profile</t>
        </is>
      </c>
      <c r="G108" s="26" t="inlineStr">
        <is>
          <t>Uses profile thresholds</t>
        </is>
      </c>
      <c r="H108" s="26" t="inlineStr">
        <is>
          <t>High</t>
        </is>
      </c>
      <c r="I108" s="26" t="inlineStr">
        <is>
          <t>P1</t>
        </is>
      </c>
      <c r="J108" s="28" t="inlineStr">
        <is>
          <t>Pass</t>
        </is>
      </c>
      <c r="K108" s="29" t="inlineStr">
        <is>
          <t>Registered charity collection wallet with approved profile (dynamic field TM_COLLECTION_APPROVED) and 22 senders → 0 alerts; the approved-profile threshold (500 senders) is applied by a second rule branch.</t>
        </is>
      </c>
      <c r="L108" s="29" t="inlineStr">
        <is>
          <t>Claude (automated test suite)</t>
        </is>
      </c>
      <c r="M108" s="29" t="inlineStr">
        <is>
          <t>2026-10-15</t>
        </is>
      </c>
      <c r="N108" s="29" t="n"/>
      <c r="O108" s="29" t="inlineStr">
        <is>
          <t>Automated: RapidMovementFanTests.FAN_01_fan_in. Note: the threshold is maintained in the rule, not stored on the customer's profile.</t>
        </is>
      </c>
    </row>
    <row r="109" ht="15" customHeight="1" s="16">
      <c r="A109" s="26" t="inlineStr">
        <is>
          <t>TM-FAN-01-04</t>
        </is>
      </c>
      <c r="B109" s="26" t="inlineStr">
        <is>
          <t>Fan-in / Fan-out</t>
        </is>
      </c>
      <c r="C109" s="26" t="inlineStr">
        <is>
          <t>FAN-01</t>
        </is>
      </c>
      <c r="D109" s="26" t="inlineStr">
        <is>
          <t>Many senders to one receiver (fan-in)</t>
        </is>
      </c>
      <c r="E109" s="26" t="inlineStr">
        <is>
          <t>Edge</t>
        </is>
      </c>
      <c r="F109" s="26" t="inlineStr">
        <is>
          <t>Senders are new wallets (age &lt; 7 days)</t>
        </is>
      </c>
      <c r="G109" s="26" t="inlineStr">
        <is>
          <t>Severity raised per configuration</t>
        </is>
      </c>
      <c r="H109" s="26" t="inlineStr">
        <is>
          <t>High</t>
        </is>
      </c>
      <c r="I109" s="26" t="inlineStr">
        <is>
          <t>P1</t>
        </is>
      </c>
      <c r="J109" s="28" t="inlineStr">
        <is>
          <t>Pass</t>
        </is>
      </c>
      <c r="K109" s="29" t="inlineStr">
        <is>
          <t>22 senders registered 2 days earlier → alert severity raised High → Critical by the indicator 'Senders are new accounts (&lt; 7 days)' (counterparty.accountAgeDays &lt; 7 for ≥ 10 senders); established senders stay High.</t>
        </is>
      </c>
      <c r="L109" s="29" t="inlineStr">
        <is>
          <t>Claude (automated test suite)</t>
        </is>
      </c>
      <c r="M109" s="29" t="inlineStr">
        <is>
          <t>2026-10-15</t>
        </is>
      </c>
      <c r="N109" s="29" t="inlineStr">
        <is>
          <t>DEF-TM-04 (fixed)</t>
        </is>
      </c>
      <c r="O109" s="29" t="inlineStr">
        <is>
          <t>Automated: RapidMovementFanTests.FAN_01_fan_in. Failed in the first execution (DEF-TM-04: No secondary indicator flags / severity escalation); fixed: action.indicators (flag + optional severity) and counterparty.* fields; re-tested 2026-10-15.</t>
        </is>
      </c>
    </row>
    <row r="110" ht="15" customHeight="1" s="16">
      <c r="A110" s="26" t="inlineStr">
        <is>
          <t>TM-FAN-02-01</t>
        </is>
      </c>
      <c r="B110" s="26" t="inlineStr">
        <is>
          <t>Fan-in / Fan-out</t>
        </is>
      </c>
      <c r="C110" s="26" t="inlineStr">
        <is>
          <t>FAN-02</t>
        </is>
      </c>
      <c r="D110" s="26" t="inlineStr">
        <is>
          <t>One sender to many receivers (fan-out)</t>
        </is>
      </c>
      <c r="E110" s="26" t="inlineStr">
        <is>
          <t>Positive</t>
        </is>
      </c>
      <c r="F110" s="26" t="inlineStr">
        <is>
          <t>C12 sends to 25 distinct wallets within 3 days</t>
        </is>
      </c>
      <c r="G110" s="26" t="inlineStr">
        <is>
          <t>Alert raised</t>
        </is>
      </c>
      <c r="H110" s="26" t="inlineStr">
        <is>
          <t>High</t>
        </is>
      </c>
      <c r="I110" s="26" t="inlineStr">
        <is>
          <t>P1</t>
        </is>
      </c>
      <c r="J110" s="28" t="inlineStr">
        <is>
          <t>Pass</t>
        </is>
      </c>
      <c r="K110" s="29" t="inlineStr">
        <is>
          <t>25 distinct beneficiaries within ~2 days → 1 alert (dedupKey rule/version/subject; with the default per-day key the pattern spanning two local days produced one alert per day).</t>
        </is>
      </c>
      <c r="L110" s="29" t="inlineStr">
        <is>
          <t>Claude (automated test suite)</t>
        </is>
      </c>
      <c r="M110" s="29" t="inlineStr">
        <is>
          <t>2026-10-15</t>
        </is>
      </c>
      <c r="N110" s="29" t="n"/>
      <c r="O110" s="29" t="inlineStr">
        <is>
          <t>Automated: RapidMovementFanTests.FAN_02_fan_out</t>
        </is>
      </c>
    </row>
    <row r="111" ht="15" customHeight="1" s="16">
      <c r="A111" s="26" t="inlineStr">
        <is>
          <t>TM-FAN-02-02</t>
        </is>
      </c>
      <c r="B111" s="26" t="inlineStr">
        <is>
          <t>Fan-in / Fan-out</t>
        </is>
      </c>
      <c r="C111" s="26" t="inlineStr">
        <is>
          <t>FAN-02</t>
        </is>
      </c>
      <c r="D111" s="26" t="inlineStr">
        <is>
          <t>One sender to many receivers (fan-out)</t>
        </is>
      </c>
      <c r="E111" s="26" t="inlineStr">
        <is>
          <t>Boundary</t>
        </is>
      </c>
      <c r="F111" s="26" t="inlineStr">
        <is>
          <t>19 beneficiaries</t>
        </is>
      </c>
      <c r="G111" s="26" t="inlineStr">
        <is>
          <t>No alert</t>
        </is>
      </c>
      <c r="H111" s="26" t="inlineStr">
        <is>
          <t>High</t>
        </is>
      </c>
      <c r="I111" s="26" t="inlineStr">
        <is>
          <t>P1</t>
        </is>
      </c>
      <c r="J111" s="28" t="inlineStr">
        <is>
          <t>Pass</t>
        </is>
      </c>
      <c r="K111" s="29" t="inlineStr">
        <is>
          <t>19 beneficiaries → 0 alerts.</t>
        </is>
      </c>
      <c r="L111" s="29" t="inlineStr">
        <is>
          <t>Claude (automated test suite)</t>
        </is>
      </c>
      <c r="M111" s="29" t="inlineStr">
        <is>
          <t>2026-10-15</t>
        </is>
      </c>
      <c r="N111" s="29" t="n"/>
      <c r="O111" s="29" t="inlineStr">
        <is>
          <t>Automated: RapidMovementFanTests.FAN_02_fan_out</t>
        </is>
      </c>
    </row>
    <row r="112" ht="15" customHeight="1" s="16">
      <c r="A112" s="26" t="inlineStr">
        <is>
          <t>TM-FAN-02-03</t>
        </is>
      </c>
      <c r="B112" s="26" t="inlineStr">
        <is>
          <t>Fan-in / Fan-out</t>
        </is>
      </c>
      <c r="C112" s="26" t="inlineStr">
        <is>
          <t>FAN-02</t>
        </is>
      </c>
      <c r="D112" s="26" t="inlineStr">
        <is>
          <t>One sender to many receivers (fan-out)</t>
        </is>
      </c>
      <c r="E112" s="26" t="inlineStr">
        <is>
          <t>Negative</t>
        </is>
      </c>
      <c r="F112" s="26" t="inlineStr">
        <is>
          <t>Corporate payroll wallet paying 25 employees</t>
        </is>
      </c>
      <c r="G112" s="26" t="inlineStr">
        <is>
          <t>Excluded by sub-type/customer type</t>
        </is>
      </c>
      <c r="H112" s="26" t="inlineStr">
        <is>
          <t>High</t>
        </is>
      </c>
      <c r="I112" s="26" t="inlineStr">
        <is>
          <t>P1</t>
        </is>
      </c>
      <c r="J112" s="28" t="inlineStr">
        <is>
          <t>Pass</t>
        </is>
      </c>
      <c r="K112" s="29" t="inlineStr">
        <is>
          <t>Corporate payroll to 25 employees excluded by customer type and Payroll sub-type → 0 alerts.</t>
        </is>
      </c>
      <c r="L112" s="29" t="inlineStr">
        <is>
          <t>Claude (automated test suite)</t>
        </is>
      </c>
      <c r="M112" s="29" t="inlineStr">
        <is>
          <t>2026-10-15</t>
        </is>
      </c>
      <c r="N112" s="29" t="n"/>
      <c r="O112" s="29" t="inlineStr">
        <is>
          <t>Automated: RapidMovementFanTests.FAN_02_fan_out</t>
        </is>
      </c>
    </row>
    <row r="113" ht="15" customHeight="1" s="16">
      <c r="A113" s="26" t="inlineStr">
        <is>
          <t>TM-FAN-02-04</t>
        </is>
      </c>
      <c r="B113" s="26" t="inlineStr">
        <is>
          <t>Fan-in / Fan-out</t>
        </is>
      </c>
      <c r="C113" s="26" t="inlineStr">
        <is>
          <t>FAN-02</t>
        </is>
      </c>
      <c r="D113" s="26" t="inlineStr">
        <is>
          <t>One sender to many receivers (fan-out)</t>
        </is>
      </c>
      <c r="E113" s="26" t="inlineStr">
        <is>
          <t>Edge</t>
        </is>
      </c>
      <c r="F113" s="26" t="inlineStr">
        <is>
          <t>Beneficiaries all in same region of a high-risk area</t>
        </is>
      </c>
      <c r="G113" s="26" t="inlineStr">
        <is>
          <t>Geographic flag added</t>
        </is>
      </c>
      <c r="H113" s="26" t="inlineStr">
        <is>
          <t>High</t>
        </is>
      </c>
      <c r="I113" s="26" t="inlineStr">
        <is>
          <t>P1</t>
        </is>
      </c>
      <c r="J113" s="28" t="inlineStr">
        <is>
          <t>Pass</t>
        </is>
      </c>
      <c r="K113" s="29" t="inlineStr">
        <is>
          <t>Beneficiaries all in a high-risk area → 1 alert with the geographic indicator flag in evidence.</t>
        </is>
      </c>
      <c r="L113" s="29" t="inlineStr">
        <is>
          <t>Claude (automated test suite)</t>
        </is>
      </c>
      <c r="M113" s="29" t="inlineStr">
        <is>
          <t>2026-10-15</t>
        </is>
      </c>
      <c r="N113" s="29" t="inlineStr">
        <is>
          <t>DEF-TM-04 (fixed)</t>
        </is>
      </c>
      <c r="O113" s="29" t="inlineStr">
        <is>
          <t>Automated: RapidMovementFanTests.FAN_02_fan_out. Failed in the first execution (DEF-TM-04: No secondary indicator flags / severity escalation); fixed: action.indicators (flag + optional severity) and counterparty.* fields; re-tested 2026-10-15.</t>
        </is>
      </c>
    </row>
    <row r="114" ht="15" customHeight="1" s="16">
      <c r="A114" s="26" t="inlineStr">
        <is>
          <t>TM-FAN-03-01</t>
        </is>
      </c>
      <c r="B114" s="26" t="inlineStr">
        <is>
          <t>Fan-in / Fan-out</t>
        </is>
      </c>
      <c r="C114" s="26" t="inlineStr">
        <is>
          <t>FAN-03</t>
        </is>
      </c>
      <c r="D114" s="26" t="inlineStr">
        <is>
          <t>Many new counterparties</t>
        </is>
      </c>
      <c r="E114" s="26" t="inlineStr">
        <is>
          <t>Positive</t>
        </is>
      </c>
      <c r="F114" s="26" t="inlineStr">
        <is>
          <t>12 transfers, 11 to never-seen beneficiaries</t>
        </is>
      </c>
      <c r="G114" s="26" t="inlineStr">
        <is>
          <t>Alert raised</t>
        </is>
      </c>
      <c r="H114" s="26" t="inlineStr">
        <is>
          <t>Medium</t>
        </is>
      </c>
      <c r="I114" s="26" t="inlineStr">
        <is>
          <t>P2</t>
        </is>
      </c>
      <c r="J114" s="28" t="inlineStr">
        <is>
          <t>Pass</t>
        </is>
      </c>
      <c r="K114" s="29" t="inlineStr">
        <is>
          <t>12 transfers, 11 to beneficiaries never seen in the previous 60 days (92%) → 1 alert.</t>
        </is>
      </c>
      <c r="L114" s="29" t="inlineStr">
        <is>
          <t>Claude (automated test suite)</t>
        </is>
      </c>
      <c r="M114" s="29" t="inlineStr">
        <is>
          <t>2026-10-15</t>
        </is>
      </c>
      <c r="N114" s="29" t="n"/>
      <c r="O114" s="29" t="inlineStr">
        <is>
          <t>Automated: ExtendedCapabilityTests.FAN_03_and_05_new_counterparties_shared_devices. Blocked in the first execution (capability gap); executable after the rule DSL extension.</t>
        </is>
      </c>
    </row>
    <row r="115" ht="15" customHeight="1" s="16">
      <c r="A115" s="26" t="inlineStr">
        <is>
          <t>TM-FAN-03-02</t>
        </is>
      </c>
      <c r="B115" s="26" t="inlineStr">
        <is>
          <t>Fan-in / Fan-out</t>
        </is>
      </c>
      <c r="C115" s="26" t="inlineStr">
        <is>
          <t>FAN-03</t>
        </is>
      </c>
      <c r="D115" s="26" t="inlineStr">
        <is>
          <t>Many new counterparties</t>
        </is>
      </c>
      <c r="E115" s="26" t="inlineStr">
        <is>
          <t>Negative</t>
        </is>
      </c>
      <c r="F115" s="26" t="inlineStr">
        <is>
          <t>12 transfers to regular contacts</t>
        </is>
      </c>
      <c r="G115" s="26" t="inlineStr">
        <is>
          <t>No alert</t>
        </is>
      </c>
      <c r="H115" s="26" t="inlineStr">
        <is>
          <t>Medium</t>
        </is>
      </c>
      <c r="I115" s="26" t="inlineStr">
        <is>
          <t>P2</t>
        </is>
      </c>
      <c r="J115" s="28" t="inlineStr">
        <is>
          <t>Pass</t>
        </is>
      </c>
      <c r="K115" s="29" t="inlineStr">
        <is>
          <t>12 transfers to regular contacts → 0 alerts.</t>
        </is>
      </c>
      <c r="L115" s="29" t="inlineStr">
        <is>
          <t>Claude (automated test suite)</t>
        </is>
      </c>
      <c r="M115" s="29" t="inlineStr">
        <is>
          <t>2026-10-15</t>
        </is>
      </c>
      <c r="N115" s="29" t="n"/>
      <c r="O115" s="29" t="inlineStr">
        <is>
          <t>Automated: ExtendedCapabilityTests.FAN_03_and_05_new_counterparties_shared_devices. Blocked in the first execution (capability gap); executable after the rule DSL extension.</t>
        </is>
      </c>
    </row>
    <row r="116" ht="15" customHeight="1" s="16">
      <c r="A116" s="26" t="inlineStr">
        <is>
          <t>TM-FAN-04-01</t>
        </is>
      </c>
      <c r="B116" s="26" t="inlineStr">
        <is>
          <t>Fan-in / Fan-out</t>
        </is>
      </c>
      <c r="C116" s="26" t="inlineStr">
        <is>
          <t>FAN-04</t>
        </is>
      </c>
      <c r="D116" s="26" t="inlineStr">
        <is>
          <t>Fan-in followed by fan-out</t>
        </is>
      </c>
      <c r="E116" s="26" t="inlineStr">
        <is>
          <t>Positive</t>
        </is>
      </c>
      <c r="F116" s="26" t="inlineStr">
        <is>
          <t>12 senders in, then 11 receivers out within 30 hours</t>
        </is>
      </c>
      <c r="G116" s="26" t="inlineStr">
        <is>
          <t>Alert raised as collector/distributor pattern</t>
        </is>
      </c>
      <c r="H116" s="26" t="inlineStr">
        <is>
          <t>High</t>
        </is>
      </c>
      <c r="I116" s="26" t="inlineStr">
        <is>
          <t>P1</t>
        </is>
      </c>
      <c r="J116" s="28" t="inlineStr">
        <is>
          <t>Pass</t>
        </is>
      </c>
      <c r="K116" s="29" t="inlineStr">
        <is>
          <t>12 senders in, then 11 receivers out within 30 h → 1 collector/distributor alert (both legs required in the 48 h window; ordering of the legs is not checked by the DSL).</t>
        </is>
      </c>
      <c r="L116" s="29" t="inlineStr">
        <is>
          <t>Claude (automated test suite)</t>
        </is>
      </c>
      <c r="M116" s="29" t="inlineStr">
        <is>
          <t>2026-10-15</t>
        </is>
      </c>
      <c r="N116" s="29" t="n"/>
      <c r="O116" s="29" t="inlineStr">
        <is>
          <t>Automated: RapidMovementFanTests.FAN_04_fan_in_then_fan_out</t>
        </is>
      </c>
    </row>
    <row r="117" ht="15" customHeight="1" s="16">
      <c r="A117" s="26" t="inlineStr">
        <is>
          <t>TM-FAN-04-02</t>
        </is>
      </c>
      <c r="B117" s="26" t="inlineStr">
        <is>
          <t>Fan-in / Fan-out</t>
        </is>
      </c>
      <c r="C117" s="26" t="inlineStr">
        <is>
          <t>FAN-04</t>
        </is>
      </c>
      <c r="D117" s="26" t="inlineStr">
        <is>
          <t>Fan-in followed by fan-out</t>
        </is>
      </c>
      <c r="E117" s="26" t="inlineStr">
        <is>
          <t>Negative</t>
        </is>
      </c>
      <c r="F117" s="26" t="inlineStr">
        <is>
          <t>Fan-in only</t>
        </is>
      </c>
      <c r="G117" s="26" t="inlineStr">
        <is>
          <t>Fan-in rule only; this rule no alert</t>
        </is>
      </c>
      <c r="H117" s="26" t="inlineStr">
        <is>
          <t>High</t>
        </is>
      </c>
      <c r="I117" s="26" t="inlineStr">
        <is>
          <t>P1</t>
        </is>
      </c>
      <c r="J117" s="28" t="inlineStr">
        <is>
          <t>Pass</t>
        </is>
      </c>
      <c r="K117" s="29" t="inlineStr">
        <is>
          <t>Fan-in only → 0 alerts from this rule.</t>
        </is>
      </c>
      <c r="L117" s="29" t="inlineStr">
        <is>
          <t>Claude (automated test suite)</t>
        </is>
      </c>
      <c r="M117" s="29" t="inlineStr">
        <is>
          <t>2026-10-15</t>
        </is>
      </c>
      <c r="N117" s="29" t="n"/>
      <c r="O117" s="29" t="inlineStr">
        <is>
          <t>Automated: RapidMovementFanTests.FAN_04_fan_in_then_fan_out</t>
        </is>
      </c>
    </row>
    <row r="118" ht="15" customHeight="1" s="16">
      <c r="A118" s="26" t="inlineStr">
        <is>
          <t>TM-FAN-05-01</t>
        </is>
      </c>
      <c r="B118" s="26" t="inlineStr">
        <is>
          <t>Fan-in / Fan-out</t>
        </is>
      </c>
      <c r="C118" s="26" t="inlineStr">
        <is>
          <t>FAN-05</t>
        </is>
      </c>
      <c r="D118" s="26" t="inlineStr">
        <is>
          <t>Many senders sharing attributes</t>
        </is>
      </c>
      <c r="E118" s="26" t="inlineStr">
        <is>
          <t>Positive</t>
        </is>
      </c>
      <c r="F118" s="26" t="inlineStr">
        <is>
          <t>6 senders registered on the same device send to C13</t>
        </is>
      </c>
      <c r="G118" s="26" t="inlineStr">
        <is>
          <t>Alert raised</t>
        </is>
      </c>
      <c r="H118" s="26" t="inlineStr">
        <is>
          <t>High</t>
        </is>
      </c>
      <c r="I118" s="26" t="inlineStr">
        <is>
          <t>P2</t>
        </is>
      </c>
      <c r="J118" s="28" t="inlineStr">
        <is>
          <t>Pass</t>
        </is>
      </c>
      <c r="K118" s="29" t="inlineStr">
        <is>
          <t>6 senders registered on the same device send to C13 → 1 alert; device and sender list in evidence.</t>
        </is>
      </c>
      <c r="L118" s="29" t="inlineStr">
        <is>
          <t>Claude (automated test suite)</t>
        </is>
      </c>
      <c r="M118" s="29" t="inlineStr">
        <is>
          <t>2026-10-15</t>
        </is>
      </c>
      <c r="N118" s="29" t="n"/>
      <c r="O118" s="29" t="inlineStr">
        <is>
          <t>Automated: ExtendedCapabilityTests.FAN_03_and_05_new_counterparties_shared_devices. Blocked in the first execution (capability gap); executable after the rule DSL extension.</t>
        </is>
      </c>
    </row>
    <row r="119" ht="15" customHeight="1" s="16">
      <c r="A119" s="26" t="inlineStr">
        <is>
          <t>TM-FAN-05-02</t>
        </is>
      </c>
      <c r="B119" s="26" t="inlineStr">
        <is>
          <t>Fan-in / Fan-out</t>
        </is>
      </c>
      <c r="C119" s="26" t="inlineStr">
        <is>
          <t>FAN-05</t>
        </is>
      </c>
      <c r="D119" s="26" t="inlineStr">
        <is>
          <t>Many senders sharing attributes</t>
        </is>
      </c>
      <c r="E119" s="26" t="inlineStr">
        <is>
          <t>Negative</t>
        </is>
      </c>
      <c r="F119" s="26" t="inlineStr">
        <is>
          <t>Senders have distinct devices</t>
        </is>
      </c>
      <c r="G119" s="26" t="inlineStr">
        <is>
          <t>No alert</t>
        </is>
      </c>
      <c r="H119" s="26" t="inlineStr">
        <is>
          <t>High</t>
        </is>
      </c>
      <c r="I119" s="26" t="inlineStr">
        <is>
          <t>P2</t>
        </is>
      </c>
      <c r="J119" s="28" t="inlineStr">
        <is>
          <t>Pass</t>
        </is>
      </c>
      <c r="K119" s="29" t="inlineStr">
        <is>
          <t>Senders with distinct devices → 0 alerts.</t>
        </is>
      </c>
      <c r="L119" s="29" t="inlineStr">
        <is>
          <t>Claude (automated test suite)</t>
        </is>
      </c>
      <c r="M119" s="29" t="inlineStr">
        <is>
          <t>2026-10-15</t>
        </is>
      </c>
      <c r="N119" s="29" t="n"/>
      <c r="O119" s="29" t="inlineStr">
        <is>
          <t>Automated: ExtendedCapabilityTests.FAN_03_and_05_new_counterparties_shared_devices. Blocked in the first execution (capability gap); executable after the rule DSL extension.</t>
        </is>
      </c>
    </row>
    <row r="120" ht="22.35" customHeight="1" s="16">
      <c r="A120" s="26" t="inlineStr">
        <is>
          <t>TM-GEO-01-01</t>
        </is>
      </c>
      <c r="B120" s="26" t="inlineStr">
        <is>
          <t>Geographic &amp; Impossible Travel</t>
        </is>
      </c>
      <c r="C120" s="26" t="inlineStr">
        <is>
          <t>GEO-01</t>
        </is>
      </c>
      <c r="D120" s="26" t="inlineStr">
        <is>
          <t>Impossible travel — transactions from distant countries in short time</t>
        </is>
      </c>
      <c r="E120" s="26" t="inlineStr">
        <is>
          <t>Positive</t>
        </is>
      </c>
      <c r="F120" s="26" t="inlineStr">
        <is>
          <t>C14 withdraws at ATM in Amman 10:00 and in Istanbul 11:00 (≈1,200 km in 1h)</t>
        </is>
      </c>
      <c r="G120" s="26" t="inlineStr">
        <is>
          <t>Alert raised; locations, distance and time gap in evidence</t>
        </is>
      </c>
      <c r="H120" s="26" t="inlineStr">
        <is>
          <t>High</t>
        </is>
      </c>
      <c r="I120" s="26" t="inlineStr">
        <is>
          <t>P1</t>
        </is>
      </c>
      <c r="J120" s="30" t="inlineStr">
        <is>
          <t>Blocked</t>
        </is>
      </c>
      <c r="K120" s="29" t="inlineStr">
        <is>
          <t>Capability gap — No geolocation or distance/speed (impossible travel) computation; transactions carry country only. Closest rule definition rejected by the rule validator: $.condition.aggregate: Unknown aggregate 'travelSpeedKmh'.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20" s="29" t="inlineStr">
        <is>
          <t>Claude (automated test suite)</t>
        </is>
      </c>
      <c r="M120" s="29" t="inlineStr">
        <is>
          <t>2026-10-15</t>
        </is>
      </c>
      <c r="N120" s="29" t="inlineStr">
        <is>
          <t>GAP-GEO-01</t>
        </is>
      </c>
      <c r="O120" s="29" t="inlineStr">
        <is>
          <t>Automated: CapabilityGapTests.Scenario_not_configurable (rule validator evidence)</t>
        </is>
      </c>
    </row>
    <row r="121" ht="22.35" customHeight="1" s="16">
      <c r="A121" s="26" t="inlineStr">
        <is>
          <t>TM-GEO-01-02</t>
        </is>
      </c>
      <c r="B121" s="26" t="inlineStr">
        <is>
          <t>Geographic &amp; Impossible Travel</t>
        </is>
      </c>
      <c r="C121" s="26" t="inlineStr">
        <is>
          <t>GEO-01</t>
        </is>
      </c>
      <c r="D121" s="26" t="inlineStr">
        <is>
          <t>Impossible travel — transactions from distant countries in short time</t>
        </is>
      </c>
      <c r="E121" s="26" t="inlineStr">
        <is>
          <t>Negative</t>
        </is>
      </c>
      <c r="F121" s="26" t="inlineStr">
        <is>
          <t>Amman 10:00 and Istanbul 14:00 (≈300 km/h)</t>
        </is>
      </c>
      <c r="G121" s="26" t="inlineStr">
        <is>
          <t>No alert</t>
        </is>
      </c>
      <c r="H121" s="26" t="inlineStr">
        <is>
          <t>High</t>
        </is>
      </c>
      <c r="I121" s="26" t="inlineStr">
        <is>
          <t>P1</t>
        </is>
      </c>
      <c r="J121" s="30" t="inlineStr">
        <is>
          <t>Blocked</t>
        </is>
      </c>
      <c r="K121" s="29" t="inlineStr">
        <is>
          <t>Capability gap — No geolocation or distance/speed (impossible travel) computation; transactions carry country only. Closest rule definition rejected by the rule validator: $.condition.aggregate: Unknown aggregate 'travelSpeedKmh'.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21" s="29" t="inlineStr">
        <is>
          <t>Claude (automated test suite)</t>
        </is>
      </c>
      <c r="M121" s="29" t="inlineStr">
        <is>
          <t>2026-10-15</t>
        </is>
      </c>
      <c r="N121" s="29" t="inlineStr">
        <is>
          <t>GAP-GEO-01</t>
        </is>
      </c>
      <c r="O121" s="29" t="inlineStr">
        <is>
          <t>Automated: CapabilityGapTests.Scenario_not_configurable (rule validator evidence)</t>
        </is>
      </c>
    </row>
    <row r="122" ht="22.35" customHeight="1" s="16">
      <c r="A122" s="26" t="inlineStr">
        <is>
          <t>TM-GEO-01-03</t>
        </is>
      </c>
      <c r="B122" s="26" t="inlineStr">
        <is>
          <t>Geographic &amp; Impossible Travel</t>
        </is>
      </c>
      <c r="C122" s="26" t="inlineStr">
        <is>
          <t>GEO-01</t>
        </is>
      </c>
      <c r="D122" s="26" t="inlineStr">
        <is>
          <t>Impossible travel — transactions from distant countries in short time</t>
        </is>
      </c>
      <c r="E122" s="26" t="inlineStr">
        <is>
          <t>Boundary</t>
        </is>
      </c>
      <c r="F122" s="26" t="inlineStr">
        <is>
          <t>Implied speed exactly 900 km/h</t>
        </is>
      </c>
      <c r="G122" s="26" t="inlineStr">
        <is>
          <t>No alert (strictly greater)</t>
        </is>
      </c>
      <c r="H122" s="26" t="inlineStr">
        <is>
          <t>High</t>
        </is>
      </c>
      <c r="I122" s="26" t="inlineStr">
        <is>
          <t>P1</t>
        </is>
      </c>
      <c r="J122" s="30" t="inlineStr">
        <is>
          <t>Blocked</t>
        </is>
      </c>
      <c r="K122" s="29" t="inlineStr">
        <is>
          <t>Capability gap — No geolocation or distance/speed (impossible travel) computation; transactions carry country only. Closest rule definition rejected by the rule validator: $.condition.aggregate: Unknown aggregate 'travelSpeedKmh'.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22" s="29" t="inlineStr">
        <is>
          <t>Claude (automated test suite)</t>
        </is>
      </c>
      <c r="M122" s="29" t="inlineStr">
        <is>
          <t>2026-10-15</t>
        </is>
      </c>
      <c r="N122" s="29" t="inlineStr">
        <is>
          <t>GAP-GEO-01</t>
        </is>
      </c>
      <c r="O122" s="29" t="inlineStr">
        <is>
          <t>Automated: CapabilityGapTests.Scenario_not_configurable (rule validator evidence)</t>
        </is>
      </c>
    </row>
    <row r="123" ht="22.35" customHeight="1" s="16">
      <c r="A123" s="26" t="inlineStr">
        <is>
          <t>TM-GEO-01-04</t>
        </is>
      </c>
      <c r="B123" s="26" t="inlineStr">
        <is>
          <t>Geographic &amp; Impossible Travel</t>
        </is>
      </c>
      <c r="C123" s="26" t="inlineStr">
        <is>
          <t>GEO-01</t>
        </is>
      </c>
      <c r="D123" s="26" t="inlineStr">
        <is>
          <t>Impossible travel — transactions from distant countries in short time</t>
        </is>
      </c>
      <c r="E123" s="26" t="inlineStr">
        <is>
          <t>Edge</t>
        </is>
      </c>
      <c r="F123" s="26" t="inlineStr">
        <is>
          <t>One location from IP that resolves to a VPN/data-centre</t>
        </is>
      </c>
      <c r="G123" s="26" t="inlineStr">
        <is>
          <t>Flagged as VPN; severity per configuration, not pure travel alert</t>
        </is>
      </c>
      <c r="H123" s="26" t="inlineStr">
        <is>
          <t>High</t>
        </is>
      </c>
      <c r="I123" s="26" t="inlineStr">
        <is>
          <t>P1</t>
        </is>
      </c>
      <c r="J123" s="30" t="inlineStr">
        <is>
          <t>Blocked</t>
        </is>
      </c>
      <c r="K123" s="29" t="inlineStr">
        <is>
          <t>Capability gap — No geolocation or distance/speed (impossible travel) computation; transactions carry country only. Closest rule definition rejected by the rule validator: $.condition.aggregate: Unknown aggregate 'travelSpeedKmh'.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23" s="29" t="inlineStr">
        <is>
          <t>Claude (automated test suite)</t>
        </is>
      </c>
      <c r="M123" s="29" t="inlineStr">
        <is>
          <t>2026-10-15</t>
        </is>
      </c>
      <c r="N123" s="29" t="inlineStr">
        <is>
          <t>GAP-GEO-01</t>
        </is>
      </c>
      <c r="O123" s="29" t="inlineStr">
        <is>
          <t>Automated: CapabilityGapTests.Scenario_not_configurable (rule validator evidence)</t>
        </is>
      </c>
    </row>
    <row r="124" ht="22.35" customHeight="1" s="16">
      <c r="A124" s="26" t="inlineStr">
        <is>
          <t>TM-GEO-01-05</t>
        </is>
      </c>
      <c r="B124" s="26" t="inlineStr">
        <is>
          <t>Geographic &amp; Impossible Travel</t>
        </is>
      </c>
      <c r="C124" s="26" t="inlineStr">
        <is>
          <t>GEO-01</t>
        </is>
      </c>
      <c r="D124" s="26" t="inlineStr">
        <is>
          <t>Impossible travel — transactions from distant countries in short time</t>
        </is>
      </c>
      <c r="E124" s="26" t="inlineStr">
        <is>
          <t>Edge</t>
        </is>
      </c>
      <c r="F124" s="26" t="inlineStr">
        <is>
          <t>Card-not-present online purchase abroad</t>
        </is>
      </c>
      <c r="G124" s="26" t="inlineStr">
        <is>
          <t>Excluded from physical travel rule per channel configuration</t>
        </is>
      </c>
      <c r="H124" s="26" t="inlineStr">
        <is>
          <t>High</t>
        </is>
      </c>
      <c r="I124" s="26" t="inlineStr">
        <is>
          <t>P1</t>
        </is>
      </c>
      <c r="J124" s="30" t="inlineStr">
        <is>
          <t>Blocked</t>
        </is>
      </c>
      <c r="K124" s="29" t="inlineStr">
        <is>
          <t>Capability gap — No geolocation or distance/speed (impossible travel) computation; transactions carry country only. Closest rule definition rejected by the rule validator: $.condition.aggregate: Unknown aggregate 'travelSpeedKmh'.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24" s="29" t="inlineStr">
        <is>
          <t>Claude (automated test suite)</t>
        </is>
      </c>
      <c r="M124" s="29" t="inlineStr">
        <is>
          <t>2026-10-15</t>
        </is>
      </c>
      <c r="N124" s="29" t="inlineStr">
        <is>
          <t>GAP-GEO-01</t>
        </is>
      </c>
      <c r="O124" s="29" t="inlineStr">
        <is>
          <t>Automated: CapabilityGapTests.Scenario_not_configurable (rule validator evidence)</t>
        </is>
      </c>
    </row>
    <row r="125" ht="22.35" customHeight="1" s="16">
      <c r="A125" s="26" t="inlineStr">
        <is>
          <t>TM-GEO-02-01</t>
        </is>
      </c>
      <c r="B125" s="26" t="inlineStr">
        <is>
          <t>Geographic &amp; Impossible Travel</t>
        </is>
      </c>
      <c r="C125" s="26" t="inlineStr">
        <is>
          <t>GEO-02</t>
        </is>
      </c>
      <c r="D125" s="26" t="inlineStr">
        <is>
          <t>Transactions in multiple countries within short period</t>
        </is>
      </c>
      <c r="E125" s="26" t="inlineStr">
        <is>
          <t>Positive</t>
        </is>
      </c>
      <c r="F125" s="26" t="inlineStr">
        <is>
          <t>Withdrawals in Jordan 09:00, UAE 15:00 and Egypt 22:00 same day</t>
        </is>
      </c>
      <c r="G125" s="26" t="inlineStr">
        <is>
          <t>Alert raised</t>
        </is>
      </c>
      <c r="H125" s="26" t="inlineStr">
        <is>
          <t>High</t>
        </is>
      </c>
      <c r="I125" s="26" t="inlineStr">
        <is>
          <t>P1</t>
        </is>
      </c>
      <c r="J125" s="28" t="inlineStr">
        <is>
          <t>Pass</t>
        </is>
      </c>
      <c r="K125" s="29" t="inlineStr">
        <is>
          <t>Withdrawals in JO 09:00, AE 15:00 and EG 22:00 → 1 alert; countries in evidence.</t>
        </is>
      </c>
      <c r="L125" s="29" t="inlineStr">
        <is>
          <t>Claude (automated test suite)</t>
        </is>
      </c>
      <c r="M125" s="29" t="inlineStr">
        <is>
          <t>2026-10-15</t>
        </is>
      </c>
      <c r="N125" s="29" t="n"/>
      <c r="O125" s="29" t="inlineStr">
        <is>
          <t>Automated: ExtendedCapabilityTests.GEO_02_and_06_countries_and_session. Blocked in the first execution (capability gap); executable after the rule DSL extension.</t>
        </is>
      </c>
    </row>
    <row r="126" ht="22.35" customHeight="1" s="16">
      <c r="A126" s="26" t="inlineStr">
        <is>
          <t>TM-GEO-02-02</t>
        </is>
      </c>
      <c r="B126" s="26" t="inlineStr">
        <is>
          <t>Geographic &amp; Impossible Travel</t>
        </is>
      </c>
      <c r="C126" s="26" t="inlineStr">
        <is>
          <t>GEO-02</t>
        </is>
      </c>
      <c r="D126" s="26" t="inlineStr">
        <is>
          <t>Transactions in multiple countries within short period</t>
        </is>
      </c>
      <c r="E126" s="26" t="inlineStr">
        <is>
          <t>Boundary</t>
        </is>
      </c>
      <c r="F126" s="26" t="inlineStr">
        <is>
          <t>2 countries</t>
        </is>
      </c>
      <c r="G126" s="26" t="inlineStr">
        <is>
          <t>No alert</t>
        </is>
      </c>
      <c r="H126" s="26" t="inlineStr">
        <is>
          <t>High</t>
        </is>
      </c>
      <c r="I126" s="26" t="inlineStr">
        <is>
          <t>P1</t>
        </is>
      </c>
      <c r="J126" s="28" t="inlineStr">
        <is>
          <t>Pass</t>
        </is>
      </c>
      <c r="K126" s="29" t="inlineStr">
        <is>
          <t>2 countries → 0 alerts.</t>
        </is>
      </c>
      <c r="L126" s="29" t="inlineStr">
        <is>
          <t>Claude (automated test suite)</t>
        </is>
      </c>
      <c r="M126" s="29" t="inlineStr">
        <is>
          <t>2026-10-15</t>
        </is>
      </c>
      <c r="N126" s="29" t="n"/>
      <c r="O126" s="29" t="inlineStr">
        <is>
          <t>Automated: ExtendedCapabilityTests.GEO_02_and_06_countries_and_session. Blocked in the first execution (capability gap); executable after the rule DSL extension.</t>
        </is>
      </c>
    </row>
    <row r="127" ht="22.35" customHeight="1" s="16">
      <c r="A127" s="26" t="inlineStr">
        <is>
          <t>TM-GEO-02-03</t>
        </is>
      </c>
      <c r="B127" s="26" t="inlineStr">
        <is>
          <t>Geographic &amp; Impossible Travel</t>
        </is>
      </c>
      <c r="C127" s="26" t="inlineStr">
        <is>
          <t>GEO-02</t>
        </is>
      </c>
      <c r="D127" s="26" t="inlineStr">
        <is>
          <t>Transactions in multiple countries within short period</t>
        </is>
      </c>
      <c r="E127" s="26" t="inlineStr">
        <is>
          <t>Negative</t>
        </is>
      </c>
      <c r="F127" s="26" t="inlineStr">
        <is>
          <t>3 countries over 5 days</t>
        </is>
      </c>
      <c r="G127" s="26" t="inlineStr">
        <is>
          <t>No alert</t>
        </is>
      </c>
      <c r="H127" s="26" t="inlineStr">
        <is>
          <t>High</t>
        </is>
      </c>
      <c r="I127" s="26" t="inlineStr">
        <is>
          <t>P1</t>
        </is>
      </c>
      <c r="J127" s="28" t="inlineStr">
        <is>
          <t>Pass</t>
        </is>
      </c>
      <c r="K127" s="29" t="inlineStr">
        <is>
          <t>3 countries over 5 days → 0 alerts.</t>
        </is>
      </c>
      <c r="L127" s="29" t="inlineStr">
        <is>
          <t>Claude (automated test suite)</t>
        </is>
      </c>
      <c r="M127" s="29" t="inlineStr">
        <is>
          <t>2026-10-15</t>
        </is>
      </c>
      <c r="N127" s="29" t="n"/>
      <c r="O127" s="29" t="inlineStr">
        <is>
          <t>Automated: ExtendedCapabilityTests.GEO_02_and_06_countries_and_session. Blocked in the first execution (capability gap); executable after the rule DSL extension.</t>
        </is>
      </c>
    </row>
    <row r="128" ht="22.35" customHeight="1" s="16">
      <c r="A128" s="26" t="inlineStr">
        <is>
          <t>TM-GEO-02-04</t>
        </is>
      </c>
      <c r="B128" s="26" t="inlineStr">
        <is>
          <t>Geographic &amp; Impossible Travel</t>
        </is>
      </c>
      <c r="C128" s="26" t="inlineStr">
        <is>
          <t>GEO-02</t>
        </is>
      </c>
      <c r="D128" s="26" t="inlineStr">
        <is>
          <t>Transactions in multiple countries within short period</t>
        </is>
      </c>
      <c r="E128" s="26" t="inlineStr">
        <is>
          <t>Edge</t>
        </is>
      </c>
      <c r="F128" s="26" t="inlineStr">
        <is>
          <t>Country missing on one transaction</t>
        </is>
      </c>
      <c r="G128" s="26" t="inlineStr">
        <is>
          <t>Excluded from count; data-quality item</t>
        </is>
      </c>
      <c r="H128" s="26" t="inlineStr">
        <is>
          <t>High</t>
        </is>
      </c>
      <c r="I128" s="26" t="inlineStr">
        <is>
          <t>P1</t>
        </is>
      </c>
      <c r="J128" s="28" t="inlineStr">
        <is>
          <t>Pass</t>
        </is>
      </c>
      <c r="K128" s="29" t="inlineStr">
        <is>
          <t>Country missing on one of three withdrawals → excluded from the count (0 alerts, evidence 'excludedMissing') and data-quality item MissingLocation: "ATM transaction without source country; excluded from country-based monitoring until corrected.".</t>
        </is>
      </c>
      <c r="L128" s="29" t="inlineStr">
        <is>
          <t>Claude (automated test suite)</t>
        </is>
      </c>
      <c r="M128" s="29" t="inlineStr">
        <is>
          <t>2026-10-15</t>
        </is>
      </c>
      <c r="N128" s="29" t="n"/>
      <c r="O128" s="29" t="inlineStr">
        <is>
          <t>Automated: ExtendedCapabilityTests.GEO_02_and_06_countries_and_session. Blocked in the first execution (capability gap); executable after the rule DSL extension.</t>
        </is>
      </c>
    </row>
    <row r="129" ht="22.35" customHeight="1" s="16">
      <c r="A129" s="26" t="inlineStr">
        <is>
          <t>TM-GEO-03-01</t>
        </is>
      </c>
      <c r="B129" s="26" t="inlineStr">
        <is>
          <t>Geographic &amp; Impossible Travel</t>
        </is>
      </c>
      <c r="C129" s="26" t="inlineStr">
        <is>
          <t>GEO-03</t>
        </is>
      </c>
      <c r="D129" s="26" t="inlineStr">
        <is>
          <t>Transaction with high-risk jurisdiction</t>
        </is>
      </c>
      <c r="E129" s="26" t="inlineStr">
        <is>
          <t>Positive</t>
        </is>
      </c>
      <c r="F129" s="26" t="inlineStr">
        <is>
          <t>Remittance to a country on the configured call-for-action list</t>
        </is>
      </c>
      <c r="G129" s="26" t="inlineStr">
        <is>
          <t>Alert raised; list version in evidence</t>
        </is>
      </c>
      <c r="H129" s="26" t="inlineStr">
        <is>
          <t>High</t>
        </is>
      </c>
      <c r="I129" s="26" t="inlineStr">
        <is>
          <t>P1</t>
        </is>
      </c>
      <c r="J129" s="28" t="inlineStr">
        <is>
          <t>Pass</t>
        </is>
      </c>
      <c r="K129" s="29" t="inlineStr">
        <is>
          <t>Remittance to IR → 1 alert; evidence holds the list as part of rule version v1 with its definition hash (list version = rule version; there is no separate versioned country-list object).</t>
        </is>
      </c>
      <c r="L129" s="29" t="inlineStr">
        <is>
          <t>Claude (automated test suite)</t>
        </is>
      </c>
      <c r="M129" s="29" t="inlineStr">
        <is>
          <t>2026-10-15</t>
        </is>
      </c>
      <c r="N129" s="29" t="n"/>
      <c r="O129" s="29" t="inlineStr">
        <is>
          <t>Automated: GeographicTests.GEO_03_high_risk_jurisdiction</t>
        </is>
      </c>
    </row>
    <row r="130" ht="22.35" customHeight="1" s="16">
      <c r="A130" s="26" t="inlineStr">
        <is>
          <t>TM-GEO-03-02</t>
        </is>
      </c>
      <c r="B130" s="26" t="inlineStr">
        <is>
          <t>Geographic &amp; Impossible Travel</t>
        </is>
      </c>
      <c r="C130" s="26" t="inlineStr">
        <is>
          <t>GEO-03</t>
        </is>
      </c>
      <c r="D130" s="26" t="inlineStr">
        <is>
          <t>Transaction with high-risk jurisdiction</t>
        </is>
      </c>
      <c r="E130" s="26" t="inlineStr">
        <is>
          <t>Negative</t>
        </is>
      </c>
      <c r="F130" s="26" t="inlineStr">
        <is>
          <t>Remittance to low-risk country</t>
        </is>
      </c>
      <c r="G130" s="26" t="inlineStr">
        <is>
          <t>No alert</t>
        </is>
      </c>
      <c r="H130" s="26" t="inlineStr">
        <is>
          <t>High</t>
        </is>
      </c>
      <c r="I130" s="26" t="inlineStr">
        <is>
          <t>P1</t>
        </is>
      </c>
      <c r="J130" s="28" t="inlineStr">
        <is>
          <t>Pass</t>
        </is>
      </c>
      <c r="K130" s="29" t="inlineStr">
        <is>
          <t>Remittance to TR → 0 alerts.</t>
        </is>
      </c>
      <c r="L130" s="29" t="inlineStr">
        <is>
          <t>Claude (automated test suite)</t>
        </is>
      </c>
      <c r="M130" s="29" t="inlineStr">
        <is>
          <t>2026-10-15</t>
        </is>
      </c>
      <c r="N130" s="29" t="n"/>
      <c r="O130" s="29" t="inlineStr">
        <is>
          <t>Automated: GeographicTests.GEO_03_high_risk_jurisdiction</t>
        </is>
      </c>
    </row>
    <row r="131" ht="22.35" customHeight="1" s="16">
      <c r="A131" s="26" t="inlineStr">
        <is>
          <t>TM-GEO-03-03</t>
        </is>
      </c>
      <c r="B131" s="26" t="inlineStr">
        <is>
          <t>Geographic &amp; Impossible Travel</t>
        </is>
      </c>
      <c r="C131" s="26" t="inlineStr">
        <is>
          <t>GEO-03</t>
        </is>
      </c>
      <c r="D131" s="26" t="inlineStr">
        <is>
          <t>Transaction with high-risk jurisdiction</t>
        </is>
      </c>
      <c r="E131" s="26" t="inlineStr">
        <is>
          <t>Edge</t>
        </is>
      </c>
      <c r="F131" s="26" t="inlineStr">
        <is>
          <t>Country added to list today; transaction yesterday</t>
        </is>
      </c>
      <c r="G131" s="26" t="inlineStr">
        <is>
          <t>Uses list version effective at transaction time</t>
        </is>
      </c>
      <c r="H131" s="26" t="inlineStr">
        <is>
          <t>High</t>
        </is>
      </c>
      <c r="I131" s="26" t="inlineStr">
        <is>
          <t>P1</t>
        </is>
      </c>
      <c r="J131" s="28" t="inlineStr">
        <is>
          <t>Pass</t>
        </is>
      </c>
      <c r="K131" s="29" t="inlineStr">
        <is>
          <t>List updated today (rule v2 adds SO); re-run over yesterday evaluated the earlier transaction with v1, the list version in force at transaction time → 0 alerts (run audit lists the version per period).</t>
        </is>
      </c>
      <c r="L131" s="29" t="inlineStr">
        <is>
          <t>Claude (automated test suite)</t>
        </is>
      </c>
      <c r="M131" s="29" t="inlineStr">
        <is>
          <t>2026-10-15</t>
        </is>
      </c>
      <c r="N131" s="29" t="inlineStr">
        <is>
          <t>DEF-TM-05 (fixed)</t>
        </is>
      </c>
      <c r="O131" s="29" t="inlineStr">
        <is>
          <t>Automated: GeographicTests.GEO_03_high_risk_jurisdiction. Failed in the first execution (DEF-TM-05: Runs used the active rule version for all transactions); fixed: Manual runs evaluate each period with the version in force at transaction time; re-tested 2026-10-15.</t>
        </is>
      </c>
    </row>
    <row r="132" ht="22.35" customHeight="1" s="16">
      <c r="A132" s="26" t="inlineStr">
        <is>
          <t>TM-GEO-04-01</t>
        </is>
      </c>
      <c r="B132" s="26" t="inlineStr">
        <is>
          <t>Geographic &amp; Impossible Travel</t>
        </is>
      </c>
      <c r="C132" s="26" t="inlineStr">
        <is>
          <t>GEO-04</t>
        </is>
      </c>
      <c r="D132" s="26" t="inlineStr">
        <is>
          <t>Transaction with sanctioned country</t>
        </is>
      </c>
      <c r="E132" s="26" t="inlineStr">
        <is>
          <t>Positive</t>
        </is>
      </c>
      <c r="F132" s="26" t="inlineStr">
        <is>
          <t>Transfer to a beneficiary with country code of a sanctioned country</t>
        </is>
      </c>
      <c r="G132" s="26" t="inlineStr">
        <is>
          <t>Real-time Hold/Reject; alert Critical</t>
        </is>
      </c>
      <c r="H132" s="26" t="inlineStr">
        <is>
          <t>Critical</t>
        </is>
      </c>
      <c r="I132" s="26" t="inlineStr">
        <is>
          <t>P1</t>
        </is>
      </c>
      <c r="J132" s="28" t="inlineStr">
        <is>
          <t>Pass</t>
        </is>
      </c>
      <c r="K132" s="29" t="inlineStr">
        <is>
          <t>Real-time decision HoldForReview (["RULE_TMGEO04RT"]); batch rule alert severity Critical.</t>
        </is>
      </c>
      <c r="L132" s="29" t="inlineStr">
        <is>
          <t>Claude (automated test suite)</t>
        </is>
      </c>
      <c r="M132" s="29" t="inlineStr">
        <is>
          <t>2026-10-15</t>
        </is>
      </c>
      <c r="N132" s="29" t="n"/>
      <c r="O132" s="29" t="inlineStr">
        <is>
          <t>Automated: GeographicTests.GEO_04_sanctioned_country. Note: the real-time hold and the batch alert are produced by two rules on the same condition.</t>
        </is>
      </c>
    </row>
    <row r="133" ht="22.35" customHeight="1" s="16">
      <c r="A133" s="26" t="inlineStr">
        <is>
          <t>TM-GEO-04-02</t>
        </is>
      </c>
      <c r="B133" s="26" t="inlineStr">
        <is>
          <t>Geographic &amp; Impossible Travel</t>
        </is>
      </c>
      <c r="C133" s="26" t="inlineStr">
        <is>
          <t>GEO-04</t>
        </is>
      </c>
      <c r="D133" s="26" t="inlineStr">
        <is>
          <t>Transaction with sanctioned country</t>
        </is>
      </c>
      <c r="E133" s="26" t="inlineStr">
        <is>
          <t>Negative</t>
        </is>
      </c>
      <c r="F133" s="26" t="inlineStr">
        <is>
          <t>Transfer to neighbouring non-sanctioned country</t>
        </is>
      </c>
      <c r="G133" s="26" t="inlineStr">
        <is>
          <t>No alert</t>
        </is>
      </c>
      <c r="H133" s="26" t="inlineStr">
        <is>
          <t>Critical</t>
        </is>
      </c>
      <c r="I133" s="26" t="inlineStr">
        <is>
          <t>P1</t>
        </is>
      </c>
      <c r="J133" s="28" t="inlineStr">
        <is>
          <t>Pass</t>
        </is>
      </c>
      <c r="K133" s="29" t="inlineStr">
        <is>
          <t>Transfer to CN → decision Allow, 0 alerts.</t>
        </is>
      </c>
      <c r="L133" s="29" t="inlineStr">
        <is>
          <t>Claude (automated test suite)</t>
        </is>
      </c>
      <c r="M133" s="29" t="inlineStr">
        <is>
          <t>2026-10-15</t>
        </is>
      </c>
      <c r="N133" s="29" t="n"/>
      <c r="O133" s="29" t="inlineStr">
        <is>
          <t>Automated: GeographicTests.GEO_04_sanctioned_country</t>
        </is>
      </c>
    </row>
    <row r="134" ht="22.35" customHeight="1" s="16">
      <c r="A134" s="26" t="inlineStr">
        <is>
          <t>TM-GEO-04-03</t>
        </is>
      </c>
      <c r="B134" s="26" t="inlineStr">
        <is>
          <t>Geographic &amp; Impossible Travel</t>
        </is>
      </c>
      <c r="C134" s="26" t="inlineStr">
        <is>
          <t>GEO-04</t>
        </is>
      </c>
      <c r="D134" s="26" t="inlineStr">
        <is>
          <t>Transaction with sanctioned country</t>
        </is>
      </c>
      <c r="E134" s="26" t="inlineStr">
        <is>
          <t>Edge</t>
        </is>
      </c>
      <c r="F134" s="26" t="inlineStr">
        <is>
          <t>Country appears only in free-text remarks</t>
        </is>
      </c>
      <c r="G134" s="26" t="inlineStr">
        <is>
          <t>Remarks screening flags it</t>
        </is>
      </c>
      <c r="H134" s="26" t="inlineStr">
        <is>
          <t>Critical</t>
        </is>
      </c>
      <c r="I134" s="26" t="inlineStr">
        <is>
          <t>P1</t>
        </is>
      </c>
      <c r="J134" s="28" t="inlineStr">
        <is>
          <t>Pass</t>
        </is>
      </c>
      <c r="K134" s="29" t="inlineStr">
        <is>
          <t>Country only in remarks → real-time HoldForReview, batch 1 alert (remarks 'contains' keyword conditions, EN/AR, configured in the rule).</t>
        </is>
      </c>
      <c r="L134" s="29" t="inlineStr">
        <is>
          <t>Claude (automated test suite)</t>
        </is>
      </c>
      <c r="M134" s="29" t="inlineStr">
        <is>
          <t>2026-10-15</t>
        </is>
      </c>
      <c r="N134" s="29" t="n"/>
      <c r="O134" s="29" t="inlineStr">
        <is>
          <t>Automated: GeographicTests.GEO_04_sanctioned_country</t>
        </is>
      </c>
    </row>
    <row r="135" ht="22.35" customHeight="1" s="16">
      <c r="A135" s="26" t="inlineStr">
        <is>
          <t>TM-GEO-05-01</t>
        </is>
      </c>
      <c r="B135" s="26" t="inlineStr">
        <is>
          <t>Geographic &amp; Impossible Travel</t>
        </is>
      </c>
      <c r="C135" s="26" t="inlineStr">
        <is>
          <t>GEO-05</t>
        </is>
      </c>
      <c r="D135" s="26" t="inlineStr">
        <is>
          <t>Location mismatch with residence</t>
        </is>
      </c>
      <c r="E135" s="26" t="inlineStr">
        <is>
          <t>Positive</t>
        </is>
      </c>
      <c r="F135" s="26" t="inlineStr">
        <is>
          <t>Resident of Jordan, 6 withdrawals in a foreign country within a week</t>
        </is>
      </c>
      <c r="G135" s="26" t="inlineStr">
        <is>
          <t>Alert raised</t>
        </is>
      </c>
      <c r="H135" s="26" t="inlineStr">
        <is>
          <t>Medium</t>
        </is>
      </c>
      <c r="I135" s="26" t="inlineStr">
        <is>
          <t>P2</t>
        </is>
      </c>
      <c r="J135" s="28" t="inlineStr">
        <is>
          <t>Pass</t>
        </is>
      </c>
      <c r="K135" s="29" t="inlineStr">
        <is>
          <t>Domestic-only Jordanian resident, 6 withdrawals in TR within 6 days → 1 alert(s).</t>
        </is>
      </c>
      <c r="L135" s="29" t="inlineStr">
        <is>
          <t>Claude (automated test suite)</t>
        </is>
      </c>
      <c r="M135" s="29" t="inlineStr">
        <is>
          <t>2026-10-15</t>
        </is>
      </c>
      <c r="N135" s="29" t="n"/>
      <c r="O135" s="29" t="inlineStr">
        <is>
          <t>Automated: GeographicTests.GEO_05_location_mismatch. Note: 'different from residence' is configured as sourceCountry ≠ JO (rules cannot compare a transaction field with the customer's residence field).</t>
        </is>
      </c>
    </row>
    <row r="136" ht="22.35" customHeight="1" s="16">
      <c r="A136" s="26" t="inlineStr">
        <is>
          <t>TM-GEO-05-02</t>
        </is>
      </c>
      <c r="B136" s="26" t="inlineStr">
        <is>
          <t>Geographic &amp; Impossible Travel</t>
        </is>
      </c>
      <c r="C136" s="26" t="inlineStr">
        <is>
          <t>GEO-05</t>
        </is>
      </c>
      <c r="D136" s="26" t="inlineStr">
        <is>
          <t>Location mismatch with residence</t>
        </is>
      </c>
      <c r="E136" s="26" t="inlineStr">
        <is>
          <t>Negative</t>
        </is>
      </c>
      <c r="F136" s="26" t="inlineStr">
        <is>
          <t>Customer declared frequent travel</t>
        </is>
      </c>
      <c r="G136" s="26" t="inlineStr">
        <is>
          <t>Profile exception applied</t>
        </is>
      </c>
      <c r="H136" s="26" t="inlineStr">
        <is>
          <t>Medium</t>
        </is>
      </c>
      <c r="I136" s="26" t="inlineStr">
        <is>
          <t>P2</t>
        </is>
      </c>
      <c r="J136" s="28" t="inlineStr">
        <is>
          <t>Pass</t>
        </is>
      </c>
      <c r="K136" s="29" t="inlineStr">
        <is>
          <t>Customer with TM_TRAVEL_EXCEPTION=true (dynamic profile field) → 0 alerts; exception applied by the rule condition.</t>
        </is>
      </c>
      <c r="L136" s="29" t="inlineStr">
        <is>
          <t>Claude (automated test suite)</t>
        </is>
      </c>
      <c r="M136" s="29" t="inlineStr">
        <is>
          <t>2026-10-15</t>
        </is>
      </c>
      <c r="N136" s="29" t="n"/>
      <c r="O136" s="29" t="inlineStr">
        <is>
          <t>Automated: GeographicTests.GEO_05_location_mismatch</t>
        </is>
      </c>
    </row>
    <row r="137" ht="22.35" customHeight="1" s="16">
      <c r="A137" s="26" t="inlineStr">
        <is>
          <t>TM-GEO-06-01</t>
        </is>
      </c>
      <c r="B137" s="26" t="inlineStr">
        <is>
          <t>Geographic &amp; Impossible Travel</t>
        </is>
      </c>
      <c r="C137" s="26" t="inlineStr">
        <is>
          <t>GEO-06</t>
        </is>
      </c>
      <c r="D137" s="26" t="inlineStr">
        <is>
          <t>IP country differs from transaction country</t>
        </is>
      </c>
      <c r="E137" s="26" t="inlineStr">
        <is>
          <t>Positive</t>
        </is>
      </c>
      <c r="F137" s="26" t="inlineStr">
        <is>
          <t>App transfer of 800 with session IP in a third country while customer is in Jordan</t>
        </is>
      </c>
      <c r="G137" s="26" t="inlineStr">
        <is>
          <t>Alert raised</t>
        </is>
      </c>
      <c r="H137" s="26" t="inlineStr">
        <is>
          <t>Medium</t>
        </is>
      </c>
      <c r="I137" s="26" t="inlineStr">
        <is>
          <t>P2</t>
        </is>
      </c>
      <c r="J137" s="28" t="inlineStr">
        <is>
          <t>Pass</t>
        </is>
      </c>
      <c r="K137" s="29" t="inlineStr">
        <is>
          <t>App transfer of 800 (source JO) 30 minutes after a login geolocated to TR → 1 alert (txn.loginCountryMismatch).</t>
        </is>
      </c>
      <c r="L137" s="29" t="inlineStr">
        <is>
          <t>Claude (automated test suite)</t>
        </is>
      </c>
      <c r="M137" s="29" t="inlineStr">
        <is>
          <t>2026-10-15</t>
        </is>
      </c>
      <c r="N137" s="29" t="n"/>
      <c r="O137" s="29" t="inlineStr">
        <is>
          <t>Automated: ExtendedCapabilityTests.GEO_02_and_06_countries_and_session. Blocked in the first execution (capability gap); executable after the rule DSL extension.</t>
        </is>
      </c>
    </row>
    <row r="138" ht="22.35" customHeight="1" s="16">
      <c r="A138" s="26" t="inlineStr">
        <is>
          <t>TM-GEO-06-02</t>
        </is>
      </c>
      <c r="B138" s="26" t="inlineStr">
        <is>
          <t>Geographic &amp; Impossible Travel</t>
        </is>
      </c>
      <c r="C138" s="26" t="inlineStr">
        <is>
          <t>GEO-06</t>
        </is>
      </c>
      <c r="D138" s="26" t="inlineStr">
        <is>
          <t>IP country differs from transaction country</t>
        </is>
      </c>
      <c r="E138" s="26" t="inlineStr">
        <is>
          <t>Negative</t>
        </is>
      </c>
      <c r="F138" s="26" t="inlineStr">
        <is>
          <t>IP and residence both Jordan</t>
        </is>
      </c>
      <c r="G138" s="26" t="inlineStr">
        <is>
          <t>No alert</t>
        </is>
      </c>
      <c r="H138" s="26" t="inlineStr">
        <is>
          <t>Medium</t>
        </is>
      </c>
      <c r="I138" s="26" t="inlineStr">
        <is>
          <t>P2</t>
        </is>
      </c>
      <c r="J138" s="28" t="inlineStr">
        <is>
          <t>Pass</t>
        </is>
      </c>
      <c r="K138" s="29" t="inlineStr">
        <is>
          <t>Login and transaction both JO → 0 alerts.</t>
        </is>
      </c>
      <c r="L138" s="29" t="inlineStr">
        <is>
          <t>Claude (automated test suite)</t>
        </is>
      </c>
      <c r="M138" s="29" t="inlineStr">
        <is>
          <t>2026-10-15</t>
        </is>
      </c>
      <c r="N138" s="29" t="n"/>
      <c r="O138" s="29" t="inlineStr">
        <is>
          <t>Automated: ExtendedCapabilityTests.GEO_02_and_06_countries_and_session. Blocked in the first execution (capability gap); executable after the rule DSL extension.</t>
        </is>
      </c>
    </row>
    <row r="139" ht="22.35" customHeight="1" s="16">
      <c r="A139" s="26" t="inlineStr">
        <is>
          <t>TM-GEO-06-03</t>
        </is>
      </c>
      <c r="B139" s="26" t="inlineStr">
        <is>
          <t>Geographic &amp; Impossible Travel</t>
        </is>
      </c>
      <c r="C139" s="26" t="inlineStr">
        <is>
          <t>GEO-06</t>
        </is>
      </c>
      <c r="D139" s="26" t="inlineStr">
        <is>
          <t>IP country differs from transaction country</t>
        </is>
      </c>
      <c r="E139" s="26" t="inlineStr">
        <is>
          <t>Edge</t>
        </is>
      </c>
      <c r="F139" s="26" t="inlineStr">
        <is>
          <t>Mobile carrier roaming IP</t>
        </is>
      </c>
      <c r="G139" s="26" t="inlineStr">
        <is>
          <t>Carrier allow-list applied</t>
        </is>
      </c>
      <c r="H139" s="26" t="inlineStr">
        <is>
          <t>Medium</t>
        </is>
      </c>
      <c r="I139" s="26" t="inlineStr">
        <is>
          <t>P2</t>
        </is>
      </c>
      <c r="J139" s="28" t="inlineStr">
        <is>
          <t>Pass</t>
        </is>
      </c>
      <c r="K139" s="29" t="inlineStr">
        <is>
          <t>Login geolocated to TR from a mobile-carrier roaming IP (allow-listed prefix, setting Monitoring:RoamingIpPrefixes) → 0 alerts (location treated as unreliable).</t>
        </is>
      </c>
      <c r="L139" s="29" t="inlineStr">
        <is>
          <t>Claude (automated test suite)</t>
        </is>
      </c>
      <c r="M139" s="29" t="inlineStr">
        <is>
          <t>2026-10-15</t>
        </is>
      </c>
      <c r="N139" s="29" t="n"/>
      <c r="O139" s="29" t="inlineStr">
        <is>
          <t>Automated: ExtendedCapabilityTests.GEO_02_and_06_countries_and_session. Blocked in the first execution (capability gap); executable after the rule DSL extension.</t>
        </is>
      </c>
    </row>
    <row r="140" ht="22.35" customHeight="1" s="16">
      <c r="A140" s="26" t="inlineStr">
        <is>
          <t>TM-GEO-07-01</t>
        </is>
      </c>
      <c r="B140" s="26" t="inlineStr">
        <is>
          <t>Geographic &amp; Impossible Travel</t>
        </is>
      </c>
      <c r="C140" s="26" t="inlineStr">
        <is>
          <t>GEO-07</t>
        </is>
      </c>
      <c r="D140" s="26" t="inlineStr">
        <is>
          <t>Sudden first cross-border activity</t>
        </is>
      </c>
      <c r="E140" s="26" t="inlineStr">
        <is>
          <t>Positive</t>
        </is>
      </c>
      <c r="F140" s="26" t="inlineStr">
        <is>
          <t>Domestic-only for 1 year, then 2,000 remittance abroad</t>
        </is>
      </c>
      <c r="G140" s="26" t="inlineStr">
        <is>
          <t>Alert raised</t>
        </is>
      </c>
      <c r="H140" s="26" t="inlineStr">
        <is>
          <t>Medium</t>
        </is>
      </c>
      <c r="I140" s="26" t="inlineStr">
        <is>
          <t>P2</t>
        </is>
      </c>
      <c r="J140" s="30" t="inlineStr">
        <is>
          <t>Blocked</t>
        </is>
      </c>
      <c r="K140" s="29" t="inlineStr">
        <is>
          <t>Capability gap — No 'first cross-border after M months domestic-only' aggregate (newCountries ignores amount and months of domestic history). Closest rule definition rejected by the rule validator: $.condition.aggregate: Unknown aggregate 'firstCrossBorderAfterMonths'.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40" s="29" t="inlineStr">
        <is>
          <t>Claude (automated test suite)</t>
        </is>
      </c>
      <c r="M140" s="29" t="inlineStr">
        <is>
          <t>2026-10-15</t>
        </is>
      </c>
      <c r="N140" s="29" t="inlineStr">
        <is>
          <t>GAP-GEO-07</t>
        </is>
      </c>
      <c r="O140" s="29" t="inlineStr">
        <is>
          <t>Automated: CapabilityGapTests.Scenario_not_configurable (rule validator evidence)</t>
        </is>
      </c>
    </row>
    <row r="141" ht="22.35" customHeight="1" s="16">
      <c r="A141" s="26" t="inlineStr">
        <is>
          <t>TM-GEO-07-02</t>
        </is>
      </c>
      <c r="B141" s="26" t="inlineStr">
        <is>
          <t>Geographic &amp; Impossible Travel</t>
        </is>
      </c>
      <c r="C141" s="26" t="inlineStr">
        <is>
          <t>GEO-07</t>
        </is>
      </c>
      <c r="D141" s="26" t="inlineStr">
        <is>
          <t>Sudden first cross-border activity</t>
        </is>
      </c>
      <c r="E141" s="26" t="inlineStr">
        <is>
          <t>Negative</t>
        </is>
      </c>
      <c r="F141" s="26" t="inlineStr">
        <is>
          <t>Regular monthly remittance customer</t>
        </is>
      </c>
      <c r="G141" s="26" t="inlineStr">
        <is>
          <t>No alert</t>
        </is>
      </c>
      <c r="H141" s="26" t="inlineStr">
        <is>
          <t>Medium</t>
        </is>
      </c>
      <c r="I141" s="26" t="inlineStr">
        <is>
          <t>P2</t>
        </is>
      </c>
      <c r="J141" s="30" t="inlineStr">
        <is>
          <t>Blocked</t>
        </is>
      </c>
      <c r="K141" s="29" t="inlineStr">
        <is>
          <t>Capability gap — No 'first cross-border after M months domestic-only' aggregate (newCountries ignores amount and months of domestic history). Closest rule definition rejected by the rule validator: $.condition.aggregate: Unknown aggregate 'firstCrossBorderAfterMonths'.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41" s="29" t="inlineStr">
        <is>
          <t>Claude (automated test suite)</t>
        </is>
      </c>
      <c r="M141" s="29" t="inlineStr">
        <is>
          <t>2026-10-15</t>
        </is>
      </c>
      <c r="N141" s="29" t="inlineStr">
        <is>
          <t>GAP-GEO-07</t>
        </is>
      </c>
      <c r="O141" s="29" t="inlineStr">
        <is>
          <t>Automated: CapabilityGapTests.Scenario_not_configurable (rule validator evidence)</t>
        </is>
      </c>
    </row>
    <row r="142" ht="22.35" customHeight="1" s="16">
      <c r="A142" s="26" t="inlineStr">
        <is>
          <t>TM-GEO-08-01</t>
        </is>
      </c>
      <c r="B142" s="26" t="inlineStr">
        <is>
          <t>Geographic &amp; Impossible Travel</t>
        </is>
      </c>
      <c r="C142" s="26" t="inlineStr">
        <is>
          <t>GEO-08</t>
        </is>
      </c>
      <c r="D142" s="26" t="inlineStr">
        <is>
          <t>Cash-in and cash-out far apart in short time</t>
        </is>
      </c>
      <c r="E142" s="26" t="inlineStr">
        <is>
          <t>Positive</t>
        </is>
      </c>
      <c r="F142" s="26" t="inlineStr">
        <is>
          <t>Cash-in in Amman 09:00; cash-out in Aqaba (≈330 km) 11:00 on same wallet</t>
        </is>
      </c>
      <c r="G142" s="26" t="inlineStr">
        <is>
          <t>Alert raised</t>
        </is>
      </c>
      <c r="H142" s="26" t="inlineStr">
        <is>
          <t>Medium</t>
        </is>
      </c>
      <c r="I142" s="26" t="inlineStr">
        <is>
          <t>P2</t>
        </is>
      </c>
      <c r="J142" s="30" t="inlineStr">
        <is>
          <t>Blocked</t>
        </is>
      </c>
      <c r="K142" s="29" t="inlineStr">
        <is>
          <t>Capability gap — Agent locations / distances are not modelled; cash-in and cash-out by different persons cannot be correlated. Closest rule definition rejected by the rule validator: $.condition.aggregate: Unknown aggregate 'agentDistanceKm'.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42" s="29" t="inlineStr">
        <is>
          <t>Claude (automated test suite)</t>
        </is>
      </c>
      <c r="M142" s="29" t="inlineStr">
        <is>
          <t>2026-10-15</t>
        </is>
      </c>
      <c r="N142" s="29" t="inlineStr">
        <is>
          <t>GAP-GEO-08</t>
        </is>
      </c>
      <c r="O142" s="29" t="inlineStr">
        <is>
          <t>Automated: CapabilityGapTests.Scenario_not_configurable (rule validator evidence)</t>
        </is>
      </c>
    </row>
    <row r="143" ht="22.35" customHeight="1" s="16">
      <c r="A143" s="26" t="inlineStr">
        <is>
          <t>TM-GEO-08-02</t>
        </is>
      </c>
      <c r="B143" s="26" t="inlineStr">
        <is>
          <t>Geographic &amp; Impossible Travel</t>
        </is>
      </c>
      <c r="C143" s="26" t="inlineStr">
        <is>
          <t>GEO-08</t>
        </is>
      </c>
      <c r="D143" s="26" t="inlineStr">
        <is>
          <t>Cash-in and cash-out far apart in short time</t>
        </is>
      </c>
      <c r="E143" s="26" t="inlineStr">
        <is>
          <t>Negative</t>
        </is>
      </c>
      <c r="F143" s="26" t="inlineStr">
        <is>
          <t>Both in Amman</t>
        </is>
      </c>
      <c r="G143" s="26" t="inlineStr">
        <is>
          <t>No alert</t>
        </is>
      </c>
      <c r="H143" s="26" t="inlineStr">
        <is>
          <t>Medium</t>
        </is>
      </c>
      <c r="I143" s="26" t="inlineStr">
        <is>
          <t>P2</t>
        </is>
      </c>
      <c r="J143" s="30" t="inlineStr">
        <is>
          <t>Blocked</t>
        </is>
      </c>
      <c r="K143" s="29" t="inlineStr">
        <is>
          <t>Capability gap — Agent locations / distances are not modelled; cash-in and cash-out by different persons cannot be correlated. Closest rule definition rejected by the rule validator: $.condition.aggregate: Unknown aggregate 'agentDistanceKm'.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43" s="29" t="inlineStr">
        <is>
          <t>Claude (automated test suite)</t>
        </is>
      </c>
      <c r="M143" s="29" t="inlineStr">
        <is>
          <t>2026-10-15</t>
        </is>
      </c>
      <c r="N143" s="29" t="inlineStr">
        <is>
          <t>GAP-GEO-08</t>
        </is>
      </c>
      <c r="O143" s="29" t="inlineStr">
        <is>
          <t>Automated: CapabilityGapTests.Scenario_not_configurable (rule validator evidence)</t>
        </is>
      </c>
    </row>
    <row r="144" ht="22.35" customHeight="1" s="16">
      <c r="A144" s="26" t="inlineStr">
        <is>
          <t>TM-GEO-09-01</t>
        </is>
      </c>
      <c r="B144" s="26" t="inlineStr">
        <is>
          <t>Geographic &amp; Impossible Travel</t>
        </is>
      </c>
      <c r="C144" s="26" t="inlineStr">
        <is>
          <t>GEO-09</t>
        </is>
      </c>
      <c r="D144" s="26" t="inlineStr">
        <is>
          <t>Border-area cash activity</t>
        </is>
      </c>
      <c r="E144" s="26" t="inlineStr">
        <is>
          <t>Positive</t>
        </is>
      </c>
      <c r="F144" s="26" t="inlineStr">
        <is>
          <t>Customer cashes out 2,500 at a border-zone agent</t>
        </is>
      </c>
      <c r="G144" s="26" t="inlineStr">
        <is>
          <t>Alert raised</t>
        </is>
      </c>
      <c r="H144" s="26" t="inlineStr">
        <is>
          <t>Medium</t>
        </is>
      </c>
      <c r="I144" s="26" t="inlineStr">
        <is>
          <t>P3</t>
        </is>
      </c>
      <c r="J144" s="30" t="inlineStr">
        <is>
          <t>Blocked</t>
        </is>
      </c>
      <c r="K144" s="29" t="inlineStr">
        <is>
          <t>Capability gap — No border-zone agent classification available to rules (agent attributes are not readable from customer-subject rules). Closest rule definition rejected by the rule validator: $.condition.field: Unknown field 'agent.borderZone': not present in the data-source registry..</t>
        </is>
      </c>
      <c r="L144" s="29" t="inlineStr">
        <is>
          <t>Claude (automated test suite)</t>
        </is>
      </c>
      <c r="M144" s="29" t="inlineStr">
        <is>
          <t>2026-10-15</t>
        </is>
      </c>
      <c r="N144" s="29" t="inlineStr">
        <is>
          <t>GAP-GEO-09</t>
        </is>
      </c>
      <c r="O144" s="29" t="inlineStr">
        <is>
          <t>Automated: Scenario_not_configurable (rule validator evidence)</t>
        </is>
      </c>
    </row>
    <row r="145" ht="22.35" customHeight="1" s="16">
      <c r="A145" s="26" t="inlineStr">
        <is>
          <t>TM-GEO-09-02</t>
        </is>
      </c>
      <c r="B145" s="26" t="inlineStr">
        <is>
          <t>Geographic &amp; Impossible Travel</t>
        </is>
      </c>
      <c r="C145" s="26" t="inlineStr">
        <is>
          <t>GEO-09</t>
        </is>
      </c>
      <c r="D145" s="26" t="inlineStr">
        <is>
          <t>Border-area cash activity</t>
        </is>
      </c>
      <c r="E145" s="26" t="inlineStr">
        <is>
          <t>Negative</t>
        </is>
      </c>
      <c r="F145" s="26" t="inlineStr">
        <is>
          <t>Same amount at a city-centre agent</t>
        </is>
      </c>
      <c r="G145" s="26" t="inlineStr">
        <is>
          <t>No alert</t>
        </is>
      </c>
      <c r="H145" s="26" t="inlineStr">
        <is>
          <t>Medium</t>
        </is>
      </c>
      <c r="I145" s="26" t="inlineStr">
        <is>
          <t>P3</t>
        </is>
      </c>
      <c r="J145" s="30" t="inlineStr">
        <is>
          <t>Blocked</t>
        </is>
      </c>
      <c r="K145" s="29" t="inlineStr">
        <is>
          <t>Capability gap — No border-zone agent classification available to rules (agent attributes are not readable from customer-subject rules). Closest rule definition rejected by the rule validator: $.condition.field: Unknown field 'agent.borderZone': not present in the data-source registry..</t>
        </is>
      </c>
      <c r="L145" s="29" t="inlineStr">
        <is>
          <t>Claude (automated test suite)</t>
        </is>
      </c>
      <c r="M145" s="29" t="inlineStr">
        <is>
          <t>2026-10-15</t>
        </is>
      </c>
      <c r="N145" s="29" t="inlineStr">
        <is>
          <t>GAP-GEO-09</t>
        </is>
      </c>
      <c r="O145" s="29" t="inlineStr">
        <is>
          <t>Automated: Scenario_not_configurable (rule validator evidence)</t>
        </is>
      </c>
    </row>
    <row r="146" ht="15" customHeight="1" s="16">
      <c r="A146" s="26" t="inlineStr">
        <is>
          <t>TM-DEV-01-01</t>
        </is>
      </c>
      <c r="B146" s="26" t="inlineStr">
        <is>
          <t>Device, IP &amp; Channel</t>
        </is>
      </c>
      <c r="C146" s="26" t="inlineStr">
        <is>
          <t>DEV-01</t>
        </is>
      </c>
      <c r="D146" s="26" t="inlineStr">
        <is>
          <t>Many wallets on one device</t>
        </is>
      </c>
      <c r="E146" s="26" t="inlineStr">
        <is>
          <t>Positive</t>
        </is>
      </c>
      <c r="F146" s="26" t="inlineStr">
        <is>
          <t>6 customers transact from device D1 within 2 weeks</t>
        </is>
      </c>
      <c r="G146" s="26" t="inlineStr">
        <is>
          <t>Alert raised; customers listed</t>
        </is>
      </c>
      <c r="H146" s="26" t="inlineStr">
        <is>
          <t>High</t>
        </is>
      </c>
      <c r="I146" s="26" t="inlineStr">
        <is>
          <t>P1</t>
        </is>
      </c>
      <c r="J146" s="28" t="inlineStr">
        <is>
          <t>Pass</t>
        </is>
      </c>
      <c r="K146" s="29" t="inlineStr">
        <is>
          <t>6 customers on one device within 10 days → 1 device alert; evidence lists the customer IDs (customersPerDevice.customers).</t>
        </is>
      </c>
      <c r="L146" s="29" t="inlineStr">
        <is>
          <t>Claude (automated test suite)</t>
        </is>
      </c>
      <c r="M146" s="29" t="inlineStr">
        <is>
          <t>2026-10-15</t>
        </is>
      </c>
      <c r="N146" s="29" t="n"/>
      <c r="O146" s="29" t="inlineStr">
        <is>
          <t>Automated: DeviceTests.DEV_01_many_customers_on_device</t>
        </is>
      </c>
    </row>
    <row r="147" ht="15" customHeight="1" s="16">
      <c r="A147" s="26" t="inlineStr">
        <is>
          <t>TM-DEV-01-02</t>
        </is>
      </c>
      <c r="B147" s="26" t="inlineStr">
        <is>
          <t>Device, IP &amp; Channel</t>
        </is>
      </c>
      <c r="C147" s="26" t="inlineStr">
        <is>
          <t>DEV-01</t>
        </is>
      </c>
      <c r="D147" s="26" t="inlineStr">
        <is>
          <t>Many wallets on one device</t>
        </is>
      </c>
      <c r="E147" s="26" t="inlineStr">
        <is>
          <t>Boundary</t>
        </is>
      </c>
      <c r="F147" s="26" t="inlineStr">
        <is>
          <t>4 customers</t>
        </is>
      </c>
      <c r="G147" s="26" t="inlineStr">
        <is>
          <t>No alert</t>
        </is>
      </c>
      <c r="H147" s="26" t="inlineStr">
        <is>
          <t>High</t>
        </is>
      </c>
      <c r="I147" s="26" t="inlineStr">
        <is>
          <t>P1</t>
        </is>
      </c>
      <c r="J147" s="28" t="inlineStr">
        <is>
          <t>Pass</t>
        </is>
      </c>
      <c r="K147" s="29" t="inlineStr">
        <is>
          <t>4 customers → 0 alerts.</t>
        </is>
      </c>
      <c r="L147" s="29" t="inlineStr">
        <is>
          <t>Claude (automated test suite)</t>
        </is>
      </c>
      <c r="M147" s="29" t="inlineStr">
        <is>
          <t>2026-10-15</t>
        </is>
      </c>
      <c r="N147" s="29" t="n"/>
      <c r="O147" s="29" t="inlineStr">
        <is>
          <t>Automated: DeviceTests.DEV_01_many_customers_on_device</t>
        </is>
      </c>
    </row>
    <row r="148" ht="15" customHeight="1" s="16">
      <c r="A148" s="26" t="inlineStr">
        <is>
          <t>TM-DEV-01-03</t>
        </is>
      </c>
      <c r="B148" s="26" t="inlineStr">
        <is>
          <t>Device, IP &amp; Channel</t>
        </is>
      </c>
      <c r="C148" s="26" t="inlineStr">
        <is>
          <t>DEV-01</t>
        </is>
      </c>
      <c r="D148" s="26" t="inlineStr">
        <is>
          <t>Many wallets on one device</t>
        </is>
      </c>
      <c r="E148" s="26" t="inlineStr">
        <is>
          <t>Edge</t>
        </is>
      </c>
      <c r="F148" s="26" t="inlineStr">
        <is>
          <t>Shared family device with 3 linked customers</t>
        </is>
      </c>
      <c r="G148" s="26" t="inlineStr">
        <is>
          <t>Below threshold; no alert</t>
        </is>
      </c>
      <c r="H148" s="26" t="inlineStr">
        <is>
          <t>High</t>
        </is>
      </c>
      <c r="I148" s="26" t="inlineStr">
        <is>
          <t>P1</t>
        </is>
      </c>
      <c r="J148" s="28" t="inlineStr">
        <is>
          <t>Pass</t>
        </is>
      </c>
      <c r="K148" s="29" t="inlineStr">
        <is>
          <t>Shared family device with 3 customers → 0 alerts (below threshold).</t>
        </is>
      </c>
      <c r="L148" s="29" t="inlineStr">
        <is>
          <t>Claude (automated test suite)</t>
        </is>
      </c>
      <c r="M148" s="29" t="inlineStr">
        <is>
          <t>2026-10-15</t>
        </is>
      </c>
      <c r="N148" s="29" t="n"/>
      <c r="O148" s="29" t="inlineStr">
        <is>
          <t>Automated: DeviceTests.DEV_01_many_customers_on_device</t>
        </is>
      </c>
    </row>
    <row r="149" ht="15" customHeight="1" s="16">
      <c r="A149" s="26" t="inlineStr">
        <is>
          <t>TM-DEV-02-01</t>
        </is>
      </c>
      <c r="B149" s="26" t="inlineStr">
        <is>
          <t>Device, IP &amp; Channel</t>
        </is>
      </c>
      <c r="C149" s="26" t="inlineStr">
        <is>
          <t>DEV-02</t>
        </is>
      </c>
      <c r="D149" s="26" t="inlineStr">
        <is>
          <t>New device followed by large transfer</t>
        </is>
      </c>
      <c r="E149" s="26" t="inlineStr">
        <is>
          <t>Positive</t>
        </is>
      </c>
      <c r="F149" s="26" t="inlineStr">
        <is>
          <t>New device login 20:00, 1,500 transfer at 20:30</t>
        </is>
      </c>
      <c r="G149" s="26" t="inlineStr">
        <is>
          <t>Alert raised</t>
        </is>
      </c>
      <c r="H149" s="26" t="inlineStr">
        <is>
          <t>High</t>
        </is>
      </c>
      <c r="I149" s="26" t="inlineStr">
        <is>
          <t>P1</t>
        </is>
      </c>
      <c r="J149" s="28" t="inlineStr">
        <is>
          <t>Pass</t>
        </is>
      </c>
      <c r="K149" s="29" t="inlineStr">
        <is>
          <t>First login on a new device 20:00, transfer 1,500 at 20:30 → 1 alert (minutesSinceEvent NewDevice = 30 ≤ 120); device in evidence.</t>
        </is>
      </c>
      <c r="L149" s="29" t="inlineStr">
        <is>
          <t>Claude (automated test suite)</t>
        </is>
      </c>
      <c r="M149" s="29" t="inlineStr">
        <is>
          <t>2026-10-15</t>
        </is>
      </c>
      <c r="N149" s="29" t="n"/>
      <c r="O149" s="29" t="inlineStr">
        <is>
          <t>Automated: ExtendedCapabilityTests.DEV_02_05_06_device_and_sim_signals. Blocked in the first execution (capability gap); executable after the rule DSL extension.</t>
        </is>
      </c>
    </row>
    <row r="150" ht="15" customHeight="1" s="16">
      <c r="A150" s="26" t="inlineStr">
        <is>
          <t>TM-DEV-02-02</t>
        </is>
      </c>
      <c r="B150" s="26" t="inlineStr">
        <is>
          <t>Device, IP &amp; Channel</t>
        </is>
      </c>
      <c r="C150" s="26" t="inlineStr">
        <is>
          <t>DEV-02</t>
        </is>
      </c>
      <c r="D150" s="26" t="inlineStr">
        <is>
          <t>New device followed by large transfer</t>
        </is>
      </c>
      <c r="E150" s="26" t="inlineStr">
        <is>
          <t>Negative</t>
        </is>
      </c>
      <c r="F150" s="26" t="inlineStr">
        <is>
          <t>Transfer after 3 days on same device</t>
        </is>
      </c>
      <c r="G150" s="26" t="inlineStr">
        <is>
          <t>No alert</t>
        </is>
      </c>
      <c r="H150" s="26" t="inlineStr">
        <is>
          <t>High</t>
        </is>
      </c>
      <c r="I150" s="26" t="inlineStr">
        <is>
          <t>P1</t>
        </is>
      </c>
      <c r="J150" s="28" t="inlineStr">
        <is>
          <t>Pass</t>
        </is>
      </c>
      <c r="K150" s="29" t="inlineStr">
        <is>
          <t>Transfer 3 days after the device's first login → 0 alerts.</t>
        </is>
      </c>
      <c r="L150" s="29" t="inlineStr">
        <is>
          <t>Claude (automated test suite)</t>
        </is>
      </c>
      <c r="M150" s="29" t="inlineStr">
        <is>
          <t>2026-10-15</t>
        </is>
      </c>
      <c r="N150" s="29" t="n"/>
      <c r="O150" s="29" t="inlineStr">
        <is>
          <t>Automated: ExtendedCapabilityTests.DEV_02_05_06_device_and_sim_signals. Blocked in the first execution (capability gap); executable after the rule DSL extension.</t>
        </is>
      </c>
    </row>
    <row r="151" ht="22.35" customHeight="1" s="16">
      <c r="A151" s="26" t="inlineStr">
        <is>
          <t>TM-DEV-02-03</t>
        </is>
      </c>
      <c r="B151" s="26" t="inlineStr">
        <is>
          <t>Device, IP &amp; Channel</t>
        </is>
      </c>
      <c r="C151" s="26" t="inlineStr">
        <is>
          <t>DEV-02</t>
        </is>
      </c>
      <c r="D151" s="26" t="inlineStr">
        <is>
          <t>New device followed by large transfer</t>
        </is>
      </c>
      <c r="E151" s="26" t="inlineStr">
        <is>
          <t>Edge</t>
        </is>
      </c>
      <c r="F151" s="26" t="inlineStr">
        <is>
          <t>Device change via approved Change Device journey with second authentication</t>
        </is>
      </c>
      <c r="G151" s="26" t="inlineStr">
        <is>
          <t>Severity lowered per configuration</t>
        </is>
      </c>
      <c r="H151" s="26" t="inlineStr">
        <is>
          <t>High</t>
        </is>
      </c>
      <c r="I151" s="26" t="inlineStr">
        <is>
          <t>P1</t>
        </is>
      </c>
      <c r="J151" s="28" t="inlineStr">
        <is>
          <t>Pass</t>
        </is>
      </c>
      <c r="K151" s="29" t="inlineStr">
        <is>
          <t>Same pattern after an approved Change-Device journey with second authentication (signal DeviceChangeApproved) → alert severity Low (indicator with severityMode Set) vs High without it.</t>
        </is>
      </c>
      <c r="L151" s="29" t="inlineStr">
        <is>
          <t>Claude (automated test suite)</t>
        </is>
      </c>
      <c r="M151" s="29" t="inlineStr">
        <is>
          <t>2026-10-15</t>
        </is>
      </c>
      <c r="N151" s="29" t="n"/>
      <c r="O151" s="29" t="inlineStr">
        <is>
          <t>Automated: ExtendedCapabilityTests.DEV_02_05_06_device_and_sim_signals. Blocked in the first execution (capability gap); executable after the rule DSL extension.</t>
        </is>
      </c>
    </row>
    <row r="152" ht="15" customHeight="1" s="16">
      <c r="A152" s="26" t="inlineStr">
        <is>
          <t>TM-DEV-03-01</t>
        </is>
      </c>
      <c r="B152" s="26" t="inlineStr">
        <is>
          <t>Device, IP &amp; Channel</t>
        </is>
      </c>
      <c r="C152" s="26" t="inlineStr">
        <is>
          <t>DEV-03</t>
        </is>
      </c>
      <c r="D152" s="26" t="inlineStr">
        <is>
          <t>VPN, proxy or TOR usage</t>
        </is>
      </c>
      <c r="E152" s="26" t="inlineStr">
        <is>
          <t>Positive</t>
        </is>
      </c>
      <c r="F152" s="26" t="inlineStr">
        <is>
          <t>Transfer of 500 from a known TOR exit node</t>
        </is>
      </c>
      <c r="G152" s="26" t="inlineStr">
        <is>
          <t>Alert raised</t>
        </is>
      </c>
      <c r="H152" s="26" t="inlineStr">
        <is>
          <t>Medium</t>
        </is>
      </c>
      <c r="I152" s="26" t="inlineStr">
        <is>
          <t>P2</t>
        </is>
      </c>
      <c r="J152" s="30" t="inlineStr">
        <is>
          <t>Blocked</t>
        </is>
      </c>
      <c r="K152" s="29" t="inlineStr">
        <is>
          <t>Capability gap — IP anonymiser (VPN/proxy/TOR) classification is not captured or exposed to rules. Closest rule definition rejected by the rule validator: $.condition.field: Unknown field 'session.ipAnonymiser': not present in the data-source registry..</t>
        </is>
      </c>
      <c r="L152" s="29" t="inlineStr">
        <is>
          <t>Claude (automated test suite)</t>
        </is>
      </c>
      <c r="M152" s="29" t="inlineStr">
        <is>
          <t>2026-10-15</t>
        </is>
      </c>
      <c r="N152" s="29" t="inlineStr">
        <is>
          <t>GAP-DEV-03</t>
        </is>
      </c>
      <c r="O152" s="29" t="inlineStr">
        <is>
          <t>Automated: Scenario_not_configurable (rule validator evidence)</t>
        </is>
      </c>
    </row>
    <row r="153" ht="15" customHeight="1" s="16">
      <c r="A153" s="26" t="inlineStr">
        <is>
          <t>TM-DEV-03-02</t>
        </is>
      </c>
      <c r="B153" s="26" t="inlineStr">
        <is>
          <t>Device, IP &amp; Channel</t>
        </is>
      </c>
      <c r="C153" s="26" t="inlineStr">
        <is>
          <t>DEV-03</t>
        </is>
      </c>
      <c r="D153" s="26" t="inlineStr">
        <is>
          <t>VPN, proxy or TOR usage</t>
        </is>
      </c>
      <c r="E153" s="26" t="inlineStr">
        <is>
          <t>Negative</t>
        </is>
      </c>
      <c r="F153" s="26" t="inlineStr">
        <is>
          <t>Corporate VPN on allow-list</t>
        </is>
      </c>
      <c r="G153" s="26" t="inlineStr">
        <is>
          <t>No alert</t>
        </is>
      </c>
      <c r="H153" s="26" t="inlineStr">
        <is>
          <t>Medium</t>
        </is>
      </c>
      <c r="I153" s="26" t="inlineStr">
        <is>
          <t>P2</t>
        </is>
      </c>
      <c r="J153" s="30" t="inlineStr">
        <is>
          <t>Blocked</t>
        </is>
      </c>
      <c r="K153" s="29" t="inlineStr">
        <is>
          <t>Capability gap — IP anonymiser (VPN/proxy/TOR) classification is not captured or exposed to rules. Closest rule definition rejected by the rule validator: $.condition.field: Unknown field 'session.ipAnonymiser': not present in the data-source registry..</t>
        </is>
      </c>
      <c r="L153" s="29" t="inlineStr">
        <is>
          <t>Claude (automated test suite)</t>
        </is>
      </c>
      <c r="M153" s="29" t="inlineStr">
        <is>
          <t>2026-10-15</t>
        </is>
      </c>
      <c r="N153" s="29" t="inlineStr">
        <is>
          <t>GAP-DEV-03</t>
        </is>
      </c>
      <c r="O153" s="29" t="inlineStr">
        <is>
          <t>Automated: Scenario_not_configurable (rule validator evidence)</t>
        </is>
      </c>
    </row>
    <row r="154" ht="15" customHeight="1" s="16">
      <c r="A154" s="26" t="inlineStr">
        <is>
          <t>TM-DEV-04-01</t>
        </is>
      </c>
      <c r="B154" s="26" t="inlineStr">
        <is>
          <t>Device, IP &amp; Channel</t>
        </is>
      </c>
      <c r="C154" s="26" t="inlineStr">
        <is>
          <t>DEV-04</t>
        </is>
      </c>
      <c r="D154" s="26" t="inlineStr">
        <is>
          <t>Rooted/emulated device</t>
        </is>
      </c>
      <c r="E154" s="26" t="inlineStr">
        <is>
          <t>Positive</t>
        </is>
      </c>
      <c r="F154" s="26" t="inlineStr">
        <is>
          <t>Transfer from emulator fingerprint</t>
        </is>
      </c>
      <c r="G154" s="26" t="inlineStr">
        <is>
          <t>Alert raised</t>
        </is>
      </c>
      <c r="H154" s="26" t="inlineStr">
        <is>
          <t>Medium</t>
        </is>
      </c>
      <c r="I154" s="26" t="inlineStr">
        <is>
          <t>P3</t>
        </is>
      </c>
      <c r="J154" s="30" t="inlineStr">
        <is>
          <t>Blocked</t>
        </is>
      </c>
      <c r="K154" s="29" t="inlineStr">
        <is>
          <t>Capability gap — Rooted/jailbroken/emulator device flags are not captured or exposed to rules. Closest rule definition rejected by the rule validator: $.condition.field: Unknown field 'device.rooted': not present in the data-source registry..</t>
        </is>
      </c>
      <c r="L154" s="29" t="inlineStr">
        <is>
          <t>Claude (automated test suite)</t>
        </is>
      </c>
      <c r="M154" s="29" t="inlineStr">
        <is>
          <t>2026-10-15</t>
        </is>
      </c>
      <c r="N154" s="29" t="inlineStr">
        <is>
          <t>GAP-DEV-04</t>
        </is>
      </c>
      <c r="O154" s="29" t="inlineStr">
        <is>
          <t>Automated: Scenario_not_configurable (rule validator evidence)</t>
        </is>
      </c>
    </row>
    <row r="155" ht="15" customHeight="1" s="16">
      <c r="A155" s="26" t="inlineStr">
        <is>
          <t>TM-DEV-04-02</t>
        </is>
      </c>
      <c r="B155" s="26" t="inlineStr">
        <is>
          <t>Device, IP &amp; Channel</t>
        </is>
      </c>
      <c r="C155" s="26" t="inlineStr">
        <is>
          <t>DEV-04</t>
        </is>
      </c>
      <c r="D155" s="26" t="inlineStr">
        <is>
          <t>Rooted/emulated device</t>
        </is>
      </c>
      <c r="E155" s="26" t="inlineStr">
        <is>
          <t>Negative</t>
        </is>
      </c>
      <c r="F155" s="26" t="inlineStr">
        <is>
          <t>Normal device</t>
        </is>
      </c>
      <c r="G155" s="26" t="inlineStr">
        <is>
          <t>No alert</t>
        </is>
      </c>
      <c r="H155" s="26" t="inlineStr">
        <is>
          <t>Medium</t>
        </is>
      </c>
      <c r="I155" s="26" t="inlineStr">
        <is>
          <t>P3</t>
        </is>
      </c>
      <c r="J155" s="30" t="inlineStr">
        <is>
          <t>Blocked</t>
        </is>
      </c>
      <c r="K155" s="29" t="inlineStr">
        <is>
          <t>Capability gap — Rooted/jailbroken/emulator device flags are not captured or exposed to rules. Closest rule definition rejected by the rule validator: $.condition.field: Unknown field 'device.rooted': not present in the data-source registry..</t>
        </is>
      </c>
      <c r="L155" s="29" t="inlineStr">
        <is>
          <t>Claude (automated test suite)</t>
        </is>
      </c>
      <c r="M155" s="29" t="inlineStr">
        <is>
          <t>2026-10-15</t>
        </is>
      </c>
      <c r="N155" s="29" t="inlineStr">
        <is>
          <t>GAP-DEV-04</t>
        </is>
      </c>
      <c r="O155" s="29" t="inlineStr">
        <is>
          <t>Automated: Scenario_not_configurable (rule validator evidence)</t>
        </is>
      </c>
    </row>
    <row r="156" ht="15" customHeight="1" s="16">
      <c r="A156" s="26" t="inlineStr">
        <is>
          <t>TM-DEV-05-01</t>
        </is>
      </c>
      <c r="B156" s="26" t="inlineStr">
        <is>
          <t>Device, IP &amp; Channel</t>
        </is>
      </c>
      <c r="C156" s="26" t="inlineStr">
        <is>
          <t>DEV-05</t>
        </is>
      </c>
      <c r="D156" s="26" t="inlineStr">
        <is>
          <t>SIM swap followed by transactions</t>
        </is>
      </c>
      <c r="E156" s="26" t="inlineStr">
        <is>
          <t>Positive</t>
        </is>
      </c>
      <c r="F156" s="26" t="inlineStr">
        <is>
          <t>SIM changed 08:00; transfers totalling 900 at 10:00</t>
        </is>
      </c>
      <c r="G156" s="26" t="inlineStr">
        <is>
          <t>Alert raised</t>
        </is>
      </c>
      <c r="H156" s="26" t="inlineStr">
        <is>
          <t>High</t>
        </is>
      </c>
      <c r="I156" s="26" t="inlineStr">
        <is>
          <t>P1</t>
        </is>
      </c>
      <c r="J156" s="28" t="inlineStr">
        <is>
          <t>Pass</t>
        </is>
      </c>
      <c r="K156" s="29" t="inlineStr">
        <is>
          <t>SIM changed 08:00, transfers totalling 900 by 11:00 → 1 alert.</t>
        </is>
      </c>
      <c r="L156" s="29" t="inlineStr">
        <is>
          <t>Claude (automated test suite)</t>
        </is>
      </c>
      <c r="M156" s="29" t="inlineStr">
        <is>
          <t>2026-10-15</t>
        </is>
      </c>
      <c r="N156" s="29" t="n"/>
      <c r="O156" s="29" t="inlineStr">
        <is>
          <t>Automated: ExtendedCapabilityTests.DEV_02_05_06_device_and_sim_signals. Blocked in the first execution (capability gap); executable after the rule DSL extension.</t>
        </is>
      </c>
    </row>
    <row r="157" ht="15" customHeight="1" s="16">
      <c r="A157" s="26" t="inlineStr">
        <is>
          <t>TM-DEV-05-02</t>
        </is>
      </c>
      <c r="B157" s="26" t="inlineStr">
        <is>
          <t>Device, IP &amp; Channel</t>
        </is>
      </c>
      <c r="C157" s="26" t="inlineStr">
        <is>
          <t>DEV-05</t>
        </is>
      </c>
      <c r="D157" s="26" t="inlineStr">
        <is>
          <t>SIM swap followed by transactions</t>
        </is>
      </c>
      <c r="E157" s="26" t="inlineStr">
        <is>
          <t>Negative</t>
        </is>
      </c>
      <c r="F157" s="26" t="inlineStr">
        <is>
          <t>SIM change, no transactions</t>
        </is>
      </c>
      <c r="G157" s="26" t="inlineStr">
        <is>
          <t>No alert</t>
        </is>
      </c>
      <c r="H157" s="26" t="inlineStr">
        <is>
          <t>High</t>
        </is>
      </c>
      <c r="I157" s="26" t="inlineStr">
        <is>
          <t>P1</t>
        </is>
      </c>
      <c r="J157" s="28" t="inlineStr">
        <is>
          <t>Pass</t>
        </is>
      </c>
      <c r="K157" s="29" t="inlineStr">
        <is>
          <t>SIM change, no outgoing transactions → 0 alerts.</t>
        </is>
      </c>
      <c r="L157" s="29" t="inlineStr">
        <is>
          <t>Claude (automated test suite)</t>
        </is>
      </c>
      <c r="M157" s="29" t="inlineStr">
        <is>
          <t>2026-10-15</t>
        </is>
      </c>
      <c r="N157" s="29" t="n"/>
      <c r="O157" s="29" t="inlineStr">
        <is>
          <t>Automated: ExtendedCapabilityTests.DEV_02_05_06_device_and_sim_signals. Blocked in the first execution (capability gap); executable after the rule DSL extension.</t>
        </is>
      </c>
    </row>
    <row r="158" ht="15" customHeight="1" s="16">
      <c r="A158" s="26" t="inlineStr">
        <is>
          <t>TM-DEV-06-01</t>
        </is>
      </c>
      <c r="B158" s="26" t="inlineStr">
        <is>
          <t>Device, IP &amp; Channel</t>
        </is>
      </c>
      <c r="C158" s="26" t="inlineStr">
        <is>
          <t>DEV-06</t>
        </is>
      </c>
      <c r="D158" s="26" t="inlineStr">
        <is>
          <t>Multiple devices for one customer</t>
        </is>
      </c>
      <c r="E158" s="26" t="inlineStr">
        <is>
          <t>Positive</t>
        </is>
      </c>
      <c r="F158" s="26" t="inlineStr">
        <is>
          <t>Customer uses 5 devices in a week</t>
        </is>
      </c>
      <c r="G158" s="26" t="inlineStr">
        <is>
          <t>Alert raised</t>
        </is>
      </c>
      <c r="H158" s="26" t="inlineStr">
        <is>
          <t>Medium</t>
        </is>
      </c>
      <c r="I158" s="26" t="inlineStr">
        <is>
          <t>P2</t>
        </is>
      </c>
      <c r="J158" s="28" t="inlineStr">
        <is>
          <t>Pass</t>
        </is>
      </c>
      <c r="K158" s="29" t="inlineStr">
        <is>
          <t>Customer uses 5 devices within 5 days → 1 alert (distinctCount of device).</t>
        </is>
      </c>
      <c r="L158" s="29" t="inlineStr">
        <is>
          <t>Claude (automated test suite)</t>
        </is>
      </c>
      <c r="M158" s="29" t="inlineStr">
        <is>
          <t>2026-10-15</t>
        </is>
      </c>
      <c r="N158" s="29" t="n"/>
      <c r="O158" s="29" t="inlineStr">
        <is>
          <t>Automated: ExtendedCapabilityTests.DEV_02_05_06_device_and_sim_signals. Blocked in the first execution (capability gap); executable after the rule DSL extension.</t>
        </is>
      </c>
    </row>
    <row r="159" ht="15" customHeight="1" s="16">
      <c r="A159" s="26" t="inlineStr">
        <is>
          <t>TM-DEV-06-02</t>
        </is>
      </c>
      <c r="B159" s="26" t="inlineStr">
        <is>
          <t>Device, IP &amp; Channel</t>
        </is>
      </c>
      <c r="C159" s="26" t="inlineStr">
        <is>
          <t>DEV-06</t>
        </is>
      </c>
      <c r="D159" s="26" t="inlineStr">
        <is>
          <t>Multiple devices for one customer</t>
        </is>
      </c>
      <c r="E159" s="26" t="inlineStr">
        <is>
          <t>Negative</t>
        </is>
      </c>
      <c r="F159" s="26" t="inlineStr">
        <is>
          <t>2 devices</t>
        </is>
      </c>
      <c r="G159" s="26" t="inlineStr">
        <is>
          <t>No alert</t>
        </is>
      </c>
      <c r="H159" s="26" t="inlineStr">
        <is>
          <t>Medium</t>
        </is>
      </c>
      <c r="I159" s="26" t="inlineStr">
        <is>
          <t>P2</t>
        </is>
      </c>
      <c r="J159" s="28" t="inlineStr">
        <is>
          <t>Pass</t>
        </is>
      </c>
      <c r="K159" s="29" t="inlineStr">
        <is>
          <t>2 devices → 0 alerts.</t>
        </is>
      </c>
      <c r="L159" s="29" t="inlineStr">
        <is>
          <t>Claude (automated test suite)</t>
        </is>
      </c>
      <c r="M159" s="29" t="inlineStr">
        <is>
          <t>2026-10-15</t>
        </is>
      </c>
      <c r="N159" s="29" t="n"/>
      <c r="O159" s="29" t="inlineStr">
        <is>
          <t>Automated: ExtendedCapabilityTests.DEV_02_05_06_device_and_sim_signals. Blocked in the first execution (capability gap); executable after the rule DSL extension.</t>
        </is>
      </c>
    </row>
    <row r="160" ht="15" customHeight="1" s="16">
      <c r="A160" s="26" t="inlineStr">
        <is>
          <t>TM-DEV-07-01</t>
        </is>
      </c>
      <c r="B160" s="26" t="inlineStr">
        <is>
          <t>Device, IP &amp; Channel</t>
        </is>
      </c>
      <c r="C160" s="26" t="inlineStr">
        <is>
          <t>DEV-07</t>
        </is>
      </c>
      <c r="D160" s="26" t="inlineStr">
        <is>
          <t>Channel switch to avoid limits</t>
        </is>
      </c>
      <c r="E160" s="26" t="inlineStr">
        <is>
          <t>Positive</t>
        </is>
      </c>
      <c r="F160" s="26" t="inlineStr">
        <is>
          <t>Daily app limit reached at 13:00; USSD transfers start 13:10</t>
        </is>
      </c>
      <c r="G160" s="26" t="inlineStr">
        <is>
          <t>Alert raised</t>
        </is>
      </c>
      <c r="H160" s="26" t="inlineStr">
        <is>
          <t>Medium</t>
        </is>
      </c>
      <c r="I160" s="26" t="inlineStr">
        <is>
          <t>P2</t>
        </is>
      </c>
      <c r="J160" s="30" t="inlineStr">
        <is>
          <t>Blocked</t>
        </is>
      </c>
      <c r="K160" s="29" t="inlineStr">
        <is>
          <t>Capability gap — Channel limit-hit events are not ingested; channel switch sequence cannot be expressed. Closest rule definition rejected by the rule validator: $.condition.aggregate: Unknown aggregate 'channelSwitchAfterLimit'.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60" s="29" t="inlineStr">
        <is>
          <t>Claude (automated test suite)</t>
        </is>
      </c>
      <c r="M160" s="29" t="inlineStr">
        <is>
          <t>2026-10-15</t>
        </is>
      </c>
      <c r="N160" s="29" t="inlineStr">
        <is>
          <t>GAP-DEV-07</t>
        </is>
      </c>
      <c r="O160" s="29" t="inlineStr">
        <is>
          <t>Automated: CapabilityGapTests.Scenario_not_configurable (rule validator evidence)</t>
        </is>
      </c>
    </row>
    <row r="161" ht="15" customHeight="1" s="16">
      <c r="A161" s="26" t="inlineStr">
        <is>
          <t>TM-DEV-07-02</t>
        </is>
      </c>
      <c r="B161" s="26" t="inlineStr">
        <is>
          <t>Device, IP &amp; Channel</t>
        </is>
      </c>
      <c r="C161" s="26" t="inlineStr">
        <is>
          <t>DEV-07</t>
        </is>
      </c>
      <c r="D161" s="26" t="inlineStr">
        <is>
          <t>Channel switch to avoid limits</t>
        </is>
      </c>
      <c r="E161" s="26" t="inlineStr">
        <is>
          <t>Negative</t>
        </is>
      </c>
      <c r="F161" s="26" t="inlineStr">
        <is>
          <t>Different channels on different days</t>
        </is>
      </c>
      <c r="G161" s="26" t="inlineStr">
        <is>
          <t>No alert</t>
        </is>
      </c>
      <c r="H161" s="26" t="inlineStr">
        <is>
          <t>Medium</t>
        </is>
      </c>
      <c r="I161" s="26" t="inlineStr">
        <is>
          <t>P2</t>
        </is>
      </c>
      <c r="J161" s="30" t="inlineStr">
        <is>
          <t>Blocked</t>
        </is>
      </c>
      <c r="K161" s="29" t="inlineStr">
        <is>
          <t>Capability gap — Channel limit-hit events are not ingested; channel switch sequence cannot be expressed. Closest rule definition rejected by the rule validator: $.condition.aggregate: Unknown aggregate 'channelSwitchAfterLimit'.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61" s="29" t="inlineStr">
        <is>
          <t>Claude (automated test suite)</t>
        </is>
      </c>
      <c r="M161" s="29" t="inlineStr">
        <is>
          <t>2026-10-15</t>
        </is>
      </c>
      <c r="N161" s="29" t="inlineStr">
        <is>
          <t>GAP-DEV-07</t>
        </is>
      </c>
      <c r="O161" s="29" t="inlineStr">
        <is>
          <t>Automated: CapabilityGapTests.Scenario_not_configurable (rule validator evidence)</t>
        </is>
      </c>
    </row>
    <row r="162" ht="22.35" customHeight="1" s="16">
      <c r="A162" s="26" t="inlineStr">
        <is>
          <t>TM-BEH-01-01</t>
        </is>
      </c>
      <c r="B162" s="26" t="inlineStr">
        <is>
          <t>Behavioural Change &amp; Profile Mismatch</t>
        </is>
      </c>
      <c r="C162" s="26" t="inlineStr">
        <is>
          <t>BEH-01</t>
        </is>
      </c>
      <c r="D162" s="26" t="inlineStr">
        <is>
          <t>Dormant account reactivation with spike</t>
        </is>
      </c>
      <c r="E162" s="26" t="inlineStr">
        <is>
          <t>Positive</t>
        </is>
      </c>
      <c r="F162" s="26" t="inlineStr">
        <is>
          <t>Dormant 8 months, then receives and sends 3,000 within 3 days</t>
        </is>
      </c>
      <c r="G162" s="26" t="inlineStr">
        <is>
          <t>Alert raised</t>
        </is>
      </c>
      <c r="H162" s="26" t="inlineStr">
        <is>
          <t>High</t>
        </is>
      </c>
      <c r="I162" s="26" t="inlineStr">
        <is>
          <t>P1</t>
        </is>
      </c>
      <c r="J162" s="28" t="inlineStr">
        <is>
          <t>Pass</t>
        </is>
      </c>
      <c r="K162" s="29" t="inlineStr">
        <is>
          <t>Dormant ~245 days, then receives 3,000 and sends 3,000 within 2 days → 1 alert(s).</t>
        </is>
      </c>
      <c r="L162" s="29" t="inlineStr">
        <is>
          <t>Claude (automated test suite)</t>
        </is>
      </c>
      <c r="M162" s="29" t="inlineStr">
        <is>
          <t>2026-10-15</t>
        </is>
      </c>
      <c r="N162" s="29" t="n"/>
      <c r="O162" s="29" t="inlineStr">
        <is>
          <t>Automated: BehaviourTests.BEH_01_dormant_reactivation. Note: dormancy is measured at the reactivating transaction against the previous eligible transaction.</t>
        </is>
      </c>
    </row>
    <row r="163" ht="22.35" customHeight="1" s="16">
      <c r="A163" s="26" t="inlineStr">
        <is>
          <t>TM-BEH-01-02</t>
        </is>
      </c>
      <c r="B163" s="26" t="inlineStr">
        <is>
          <t>Behavioural Change &amp; Profile Mismatch</t>
        </is>
      </c>
      <c r="C163" s="26" t="inlineStr">
        <is>
          <t>BEH-01</t>
        </is>
      </c>
      <c r="D163" s="26" t="inlineStr">
        <is>
          <t>Dormant account reactivation with spike</t>
        </is>
      </c>
      <c r="E163" s="26" t="inlineStr">
        <is>
          <t>Boundary</t>
        </is>
      </c>
      <c r="F163" s="26" t="inlineStr">
        <is>
          <t>Dormant 179 days</t>
        </is>
      </c>
      <c r="G163" s="26" t="inlineStr">
        <is>
          <t>No alert</t>
        </is>
      </c>
      <c r="H163" s="26" t="inlineStr">
        <is>
          <t>High</t>
        </is>
      </c>
      <c r="I163" s="26" t="inlineStr">
        <is>
          <t>P1</t>
        </is>
      </c>
      <c r="J163" s="28" t="inlineStr">
        <is>
          <t>Pass</t>
        </is>
      </c>
      <c r="K163" s="29" t="inlineStr">
        <is>
          <t>Dormant 179 days → 0 alerts.</t>
        </is>
      </c>
      <c r="L163" s="29" t="inlineStr">
        <is>
          <t>Claude (automated test suite)</t>
        </is>
      </c>
      <c r="M163" s="29" t="inlineStr">
        <is>
          <t>2026-10-15</t>
        </is>
      </c>
      <c r="N163" s="29" t="n"/>
      <c r="O163" s="29" t="inlineStr">
        <is>
          <t>Automated: BehaviourTests.BEH_01_dormant_reactivation</t>
        </is>
      </c>
    </row>
    <row r="164" ht="22.35" customHeight="1" s="16">
      <c r="A164" s="26" t="inlineStr">
        <is>
          <t>TM-BEH-01-03</t>
        </is>
      </c>
      <c r="B164" s="26" t="inlineStr">
        <is>
          <t>Behavioural Change &amp; Profile Mismatch</t>
        </is>
      </c>
      <c r="C164" s="26" t="inlineStr">
        <is>
          <t>BEH-01</t>
        </is>
      </c>
      <c r="D164" s="26" t="inlineStr">
        <is>
          <t>Dormant account reactivation with spike</t>
        </is>
      </c>
      <c r="E164" s="26" t="inlineStr">
        <is>
          <t>Negative</t>
        </is>
      </c>
      <c r="F164" s="26" t="inlineStr">
        <is>
          <t>Dormant then small 20 JOD bill payment</t>
        </is>
      </c>
      <c r="G164" s="26" t="inlineStr">
        <is>
          <t>No alert</t>
        </is>
      </c>
      <c r="H164" s="26" t="inlineStr">
        <is>
          <t>High</t>
        </is>
      </c>
      <c r="I164" s="26" t="inlineStr">
        <is>
          <t>P1</t>
        </is>
      </c>
      <c r="J164" s="28" t="inlineStr">
        <is>
          <t>Pass</t>
        </is>
      </c>
      <c r="K164" s="29" t="inlineStr">
        <is>
          <t>Dormant then 20 JOD bill payment → 0 alerts.</t>
        </is>
      </c>
      <c r="L164" s="29" t="inlineStr">
        <is>
          <t>Claude (automated test suite)</t>
        </is>
      </c>
      <c r="M164" s="29" t="inlineStr">
        <is>
          <t>2026-10-15</t>
        </is>
      </c>
      <c r="N164" s="29" t="n"/>
      <c r="O164" s="29" t="inlineStr">
        <is>
          <t>Automated: BehaviourTests.BEH_01_dormant_reactivation</t>
        </is>
      </c>
    </row>
    <row r="165" ht="22.35" customHeight="1" s="16">
      <c r="A165" s="26" t="inlineStr">
        <is>
          <t>TM-BEH-01-04</t>
        </is>
      </c>
      <c r="B165" s="26" t="inlineStr">
        <is>
          <t>Behavioural Change &amp; Profile Mismatch</t>
        </is>
      </c>
      <c r="C165" s="26" t="inlineStr">
        <is>
          <t>BEH-01</t>
        </is>
      </c>
      <c r="D165" s="26" t="inlineStr">
        <is>
          <t>Dormant account reactivation with spike</t>
        </is>
      </c>
      <c r="E165" s="26" t="inlineStr">
        <is>
          <t>Edge</t>
        </is>
      </c>
      <c r="F165" s="26" t="inlineStr">
        <is>
          <t>System-generated fees during dormancy</t>
        </is>
      </c>
      <c r="G165" s="26" t="inlineStr">
        <is>
          <t>Not counted as customer activity</t>
        </is>
      </c>
      <c r="H165" s="26" t="inlineStr">
        <is>
          <t>High</t>
        </is>
      </c>
      <c r="I165" s="26" t="inlineStr">
        <is>
          <t>P1</t>
        </is>
      </c>
      <c r="J165" s="28" t="inlineStr">
        <is>
          <t>Pass</t>
        </is>
      </c>
      <c r="K165" s="29" t="inlineStr">
        <is>
          <t>System fee records during dormancy excluded by the rule's transaction-type scope → dormancy still ≥180 days and 1 alert raised.</t>
        </is>
      </c>
      <c r="L165" s="29" t="inlineStr">
        <is>
          <t>Claude (automated test suite)</t>
        </is>
      </c>
      <c r="M165" s="29" t="inlineStr">
        <is>
          <t>2026-10-15</t>
        </is>
      </c>
      <c r="N165" s="29" t="n"/>
      <c r="O165" s="29" t="inlineStr">
        <is>
          <t>Automated: BehaviourTests.BEH_01_dormant_reactivation</t>
        </is>
      </c>
    </row>
    <row r="166" ht="22.35" customHeight="1" s="16">
      <c r="A166" s="26" t="inlineStr">
        <is>
          <t>TM-BEH-02-01</t>
        </is>
      </c>
      <c r="B166" s="26" t="inlineStr">
        <is>
          <t>Behavioural Change &amp; Profile Mismatch</t>
        </is>
      </c>
      <c r="C166" s="26" t="inlineStr">
        <is>
          <t>BEH-02</t>
        </is>
      </c>
      <c r="D166" s="26" t="inlineStr">
        <is>
          <t>Sudden change in transaction type mix</t>
        </is>
      </c>
      <c r="E166" s="26" t="inlineStr">
        <is>
          <t>Positive</t>
        </is>
      </c>
      <c r="F166" s="26" t="inlineStr">
        <is>
          <t>Customer historically 90% bill payments now 80% cash-out</t>
        </is>
      </c>
      <c r="G166" s="26" t="inlineStr">
        <is>
          <t>Alert raised</t>
        </is>
      </c>
      <c r="H166" s="26" t="inlineStr">
        <is>
          <t>Medium</t>
        </is>
      </c>
      <c r="I166" s="26" t="inlineStr">
        <is>
          <t>P2</t>
        </is>
      </c>
      <c r="J166" s="28" t="inlineStr">
        <is>
          <t>Pass</t>
        </is>
      </c>
      <c r="K166" s="29" t="inlineStr">
        <is>
          <t>History 90% bill payments, now 80% cash-out → 1 alert; type shares before/now in evidence.</t>
        </is>
      </c>
      <c r="L166" s="29" t="inlineStr">
        <is>
          <t>Claude (automated test suite)</t>
        </is>
      </c>
      <c r="M166" s="29" t="inlineStr">
        <is>
          <t>2026-10-15</t>
        </is>
      </c>
      <c r="N166" s="29" t="n"/>
      <c r="O166" s="29" t="inlineStr">
        <is>
          <t>Automated: ExtendedCapabilityTests.BEH_02_05_08_behaviour. Blocked in the first execution (capability gap); executable after the rule DSL extension.</t>
        </is>
      </c>
    </row>
    <row r="167" ht="22.35" customHeight="1" s="16">
      <c r="A167" s="26" t="inlineStr">
        <is>
          <t>TM-BEH-02-02</t>
        </is>
      </c>
      <c r="B167" s="26" t="inlineStr">
        <is>
          <t>Behavioural Change &amp; Profile Mismatch</t>
        </is>
      </c>
      <c r="C167" s="26" t="inlineStr">
        <is>
          <t>BEH-02</t>
        </is>
      </c>
      <c r="D167" s="26" t="inlineStr">
        <is>
          <t>Sudden change in transaction type mix</t>
        </is>
      </c>
      <c r="E167" s="26" t="inlineStr">
        <is>
          <t>Negative</t>
        </is>
      </c>
      <c r="F167" s="26" t="inlineStr">
        <is>
          <t>Mix stable</t>
        </is>
      </c>
      <c r="G167" s="26" t="inlineStr">
        <is>
          <t>No alert</t>
        </is>
      </c>
      <c r="H167" s="26" t="inlineStr">
        <is>
          <t>Medium</t>
        </is>
      </c>
      <c r="I167" s="26" t="inlineStr">
        <is>
          <t>P2</t>
        </is>
      </c>
      <c r="J167" s="28" t="inlineStr">
        <is>
          <t>Pass</t>
        </is>
      </c>
      <c r="K167" s="29" t="inlineStr">
        <is>
          <t>Stable mix → 0 alerts.</t>
        </is>
      </c>
      <c r="L167" s="29" t="inlineStr">
        <is>
          <t>Claude (automated test suite)</t>
        </is>
      </c>
      <c r="M167" s="29" t="inlineStr">
        <is>
          <t>2026-10-15</t>
        </is>
      </c>
      <c r="N167" s="29" t="n"/>
      <c r="O167" s="29" t="inlineStr">
        <is>
          <t>Automated: ExtendedCapabilityTests.BEH_02_05_08_behaviour. Blocked in the first execution (capability gap); executable after the rule DSL extension.</t>
        </is>
      </c>
    </row>
    <row r="168" ht="22.35" customHeight="1" s="16">
      <c r="A168" s="26" t="inlineStr">
        <is>
          <t>TM-BEH-03-01</t>
        </is>
      </c>
      <c r="B168" s="26" t="inlineStr">
        <is>
          <t>Behavioural Change &amp; Profile Mismatch</t>
        </is>
      </c>
      <c r="C168" s="26" t="inlineStr">
        <is>
          <t>BEH-03</t>
        </is>
      </c>
      <c r="D168" s="26" t="inlineStr">
        <is>
          <t>Unusual time-of-day activity</t>
        </is>
      </c>
      <c r="E168" s="26" t="inlineStr">
        <is>
          <t>Positive</t>
        </is>
      </c>
      <c r="F168" s="26" t="inlineStr">
        <is>
          <t>6 transfers totalling 1,500 between 01:00 and 03:00</t>
        </is>
      </c>
      <c r="G168" s="26" t="inlineStr">
        <is>
          <t>Alert raised</t>
        </is>
      </c>
      <c r="H168" s="26" t="inlineStr">
        <is>
          <t>Low</t>
        </is>
      </c>
      <c r="I168" s="26" t="inlineStr">
        <is>
          <t>P2</t>
        </is>
      </c>
      <c r="J168" s="28" t="inlineStr">
        <is>
          <t>Pass</t>
        </is>
      </c>
      <c r="K168" s="29" t="inlineStr">
        <is>
          <t>6 transfers totalling 1,500 between 01:00 and 02:40 local → 1 alert (no night-time activity in the previous 60 days).</t>
        </is>
      </c>
      <c r="L168" s="29" t="inlineStr">
        <is>
          <t>Claude (automated test suite)</t>
        </is>
      </c>
      <c r="M168" s="29" t="inlineStr">
        <is>
          <t>2026-10-15</t>
        </is>
      </c>
      <c r="N168" s="29" t="n"/>
      <c r="O168" s="29" t="inlineStr">
        <is>
          <t>Automated: BehaviourTests.BEH_03_night_activity</t>
        </is>
      </c>
    </row>
    <row r="169" ht="22.35" customHeight="1" s="16">
      <c r="A169" s="26" t="inlineStr">
        <is>
          <t>TM-BEH-03-02</t>
        </is>
      </c>
      <c r="B169" s="26" t="inlineStr">
        <is>
          <t>Behavioural Change &amp; Profile Mismatch</t>
        </is>
      </c>
      <c r="C169" s="26" t="inlineStr">
        <is>
          <t>BEH-03</t>
        </is>
      </c>
      <c r="D169" s="26" t="inlineStr">
        <is>
          <t>Unusual time-of-day activity</t>
        </is>
      </c>
      <c r="E169" s="26" t="inlineStr">
        <is>
          <t>Negative</t>
        </is>
      </c>
      <c r="F169" s="26" t="inlineStr">
        <is>
          <t>Night-shift customer with nightly history</t>
        </is>
      </c>
      <c r="G169" s="26" t="inlineStr">
        <is>
          <t>Baseline prevents alert</t>
        </is>
      </c>
      <c r="H169" s="26" t="inlineStr">
        <is>
          <t>Low</t>
        </is>
      </c>
      <c r="I169" s="26" t="inlineStr">
        <is>
          <t>P2</t>
        </is>
      </c>
      <c r="J169" s="28" t="inlineStr">
        <is>
          <t>Pass</t>
        </is>
      </c>
      <c r="K169" s="29" t="inlineStr">
        <is>
          <t>Night-shift customer with 30 days of nightly history → 0 alerts; baseline condition historyCount(night, 60 days) = 0 not met.</t>
        </is>
      </c>
      <c r="L169" s="29" t="inlineStr">
        <is>
          <t>Claude (automated test suite)</t>
        </is>
      </c>
      <c r="M169" s="29" t="inlineStr">
        <is>
          <t>2026-10-15</t>
        </is>
      </c>
      <c r="N169" s="29" t="inlineStr">
        <is>
          <t>DEF-TM-06 (fixed)</t>
        </is>
      </c>
      <c r="O169" s="29" t="inlineStr">
        <is>
          <t>Automated: BehaviourTests.BEH_03_night_activity. Failed in the first execution (DEF-TM-06: No per-customer behavioural baseline); fixed: historyCount / historySum / historyRatio aggregates over the customer's own lookback; re-tested 2026-10-15.</t>
        </is>
      </c>
    </row>
    <row r="170" ht="22.35" customHeight="1" s="16">
      <c r="A170" s="26" t="inlineStr">
        <is>
          <t>TM-BEH-04-01</t>
        </is>
      </c>
      <c r="B170" s="26" t="inlineStr">
        <is>
          <t>Behavioural Change &amp; Profile Mismatch</t>
        </is>
      </c>
      <c r="C170" s="26" t="inlineStr">
        <is>
          <t>BEH-04</t>
        </is>
      </c>
      <c r="D170" s="26" t="inlineStr">
        <is>
          <t>Activity inconsistent with occupation</t>
        </is>
      </c>
      <c r="E170" s="26" t="inlineStr">
        <is>
          <t>Positive</t>
        </is>
      </c>
      <c r="F170" s="26" t="inlineStr">
        <is>
          <t>Student receives 4,000 per month from multiple senders</t>
        </is>
      </c>
      <c r="G170" s="26" t="inlineStr">
        <is>
          <t>Alert raised</t>
        </is>
      </c>
      <c r="H170" s="26" t="inlineStr">
        <is>
          <t>Medium</t>
        </is>
      </c>
      <c r="I170" s="26" t="inlineStr">
        <is>
          <t>P1</t>
        </is>
      </c>
      <c r="J170" s="28" t="inlineStr">
        <is>
          <t>Pass</t>
        </is>
      </c>
      <c r="K170" s="29" t="inlineStr">
        <is>
          <t>Student receives 4,000 in the month from 8 senders → 1 alert(s).</t>
        </is>
      </c>
      <c r="L170" s="29" t="inlineStr">
        <is>
          <t>Claude (automated test suite)</t>
        </is>
      </c>
      <c r="M170" s="29" t="inlineStr">
        <is>
          <t>2026-10-15</t>
        </is>
      </c>
      <c r="N170" s="29" t="n"/>
      <c r="O170" s="29" t="inlineStr">
        <is>
          <t>Automated: BehaviourTests.BEH_04_occupation_mismatch</t>
        </is>
      </c>
    </row>
    <row r="171" ht="22.35" customHeight="1" s="16">
      <c r="A171" s="26" t="inlineStr">
        <is>
          <t>TM-BEH-04-02</t>
        </is>
      </c>
      <c r="B171" s="26" t="inlineStr">
        <is>
          <t>Behavioural Change &amp; Profile Mismatch</t>
        </is>
      </c>
      <c r="C171" s="26" t="inlineStr">
        <is>
          <t>BEH-04</t>
        </is>
      </c>
      <c r="D171" s="26" t="inlineStr">
        <is>
          <t>Activity inconsistent with occupation</t>
        </is>
      </c>
      <c r="E171" s="26" t="inlineStr">
        <is>
          <t>Negative</t>
        </is>
      </c>
      <c r="F171" s="26" t="inlineStr">
        <is>
          <t>Student receives 300 monthly from parent</t>
        </is>
      </c>
      <c r="G171" s="26" t="inlineStr">
        <is>
          <t>No alert</t>
        </is>
      </c>
      <c r="H171" s="26" t="inlineStr">
        <is>
          <t>Medium</t>
        </is>
      </c>
      <c r="I171" s="26" t="inlineStr">
        <is>
          <t>P1</t>
        </is>
      </c>
      <c r="J171" s="28" t="inlineStr">
        <is>
          <t>Pass</t>
        </is>
      </c>
      <c r="K171" s="29" t="inlineStr">
        <is>
          <t>Student receives 300 from parent → 0 alerts.</t>
        </is>
      </c>
      <c r="L171" s="29" t="inlineStr">
        <is>
          <t>Claude (automated test suite)</t>
        </is>
      </c>
      <c r="M171" s="29" t="inlineStr">
        <is>
          <t>2026-10-15</t>
        </is>
      </c>
      <c r="N171" s="29" t="n"/>
      <c r="O171" s="29" t="inlineStr">
        <is>
          <t>Automated: BehaviourTests.BEH_04_occupation_mismatch</t>
        </is>
      </c>
    </row>
    <row r="172" ht="22.35" customHeight="1" s="16">
      <c r="A172" s="26" t="inlineStr">
        <is>
          <t>TM-BEH-04-03</t>
        </is>
      </c>
      <c r="B172" s="26" t="inlineStr">
        <is>
          <t>Behavioural Change &amp; Profile Mismatch</t>
        </is>
      </c>
      <c r="C172" s="26" t="inlineStr">
        <is>
          <t>BEH-04</t>
        </is>
      </c>
      <c r="D172" s="26" t="inlineStr">
        <is>
          <t>Activity inconsistent with occupation</t>
        </is>
      </c>
      <c r="E172" s="26" t="inlineStr">
        <is>
          <t>Edge</t>
        </is>
      </c>
      <c r="F172" s="26" t="inlineStr">
        <is>
          <t>Occupation missing</t>
        </is>
      </c>
      <c r="G172" s="26" t="inlineStr">
        <is>
          <t>Missing-data handling applied</t>
        </is>
      </c>
      <c r="H172" s="26" t="inlineStr">
        <is>
          <t>Medium</t>
        </is>
      </c>
      <c r="I172" s="26" t="inlineStr">
        <is>
          <t>P1</t>
        </is>
      </c>
      <c r="J172" s="28" t="inlineStr">
        <is>
          <t>Pass</t>
        </is>
      </c>
      <c r="K172" s="29" t="inlineStr">
        <is>
          <t>Occupation missing, 4,000 received → 0 alerts and 1 new data-quality items from the rule run (RuleInputMissing: condition not met, result incomplete).</t>
        </is>
      </c>
      <c r="L172" s="29" t="inlineStr">
        <is>
          <t>Claude (automated test suite)</t>
        </is>
      </c>
      <c r="M172" s="29" t="inlineStr">
        <is>
          <t>2026-10-15</t>
        </is>
      </c>
      <c r="N172" s="29" t="inlineStr">
        <is>
          <t>DEF-TM-02 (fixed)</t>
        </is>
      </c>
      <c r="O172" s="29" t="inlineStr">
        <is>
          <t>Automated: BehaviourTests.BEH_04_occupation_mismatch. Failed in the first execution (DEF-TM-02: Missing profile/attribute data silently evaluated as no-match); fixed: Missing inputs raise RuleInputMissing data-quality items (result incomplete); re-tested 2026-10-15.</t>
        </is>
      </c>
    </row>
    <row r="173" ht="22.35" customHeight="1" s="16">
      <c r="A173" s="26" t="inlineStr">
        <is>
          <t>TM-BEH-05-01</t>
        </is>
      </c>
      <c r="B173" s="26" t="inlineStr">
        <is>
          <t>Behavioural Change &amp; Profile Mismatch</t>
        </is>
      </c>
      <c r="C173" s="26" t="inlineStr">
        <is>
          <t>BEH-05</t>
        </is>
      </c>
      <c r="D173" s="26" t="inlineStr">
        <is>
          <t>Minor or elderly customer high activity</t>
        </is>
      </c>
      <c r="E173" s="26" t="inlineStr">
        <is>
          <t>Positive</t>
        </is>
      </c>
      <c r="F173" s="26" t="inlineStr">
        <is>
          <t>Customer aged 79 sends 3,000 to new beneficiaries</t>
        </is>
      </c>
      <c r="G173" s="26" t="inlineStr">
        <is>
          <t>Alert raised (exploitation risk)</t>
        </is>
      </c>
      <c r="H173" s="26" t="inlineStr">
        <is>
          <t>Medium</t>
        </is>
      </c>
      <c r="I173" s="26" t="inlineStr">
        <is>
          <t>P2</t>
        </is>
      </c>
      <c r="J173" s="28" t="inlineStr">
        <is>
          <t>Pass</t>
        </is>
      </c>
      <c r="K173" s="29" t="inlineStr">
        <is>
          <t>Customer aged 79 sends 3,000 to new beneficiaries → 1 alert (customer.age).</t>
        </is>
      </c>
      <c r="L173" s="29" t="inlineStr">
        <is>
          <t>Claude (automated test suite)</t>
        </is>
      </c>
      <c r="M173" s="29" t="inlineStr">
        <is>
          <t>2026-10-15</t>
        </is>
      </c>
      <c r="N173" s="29" t="n"/>
      <c r="O173" s="29" t="inlineStr">
        <is>
          <t>Automated: ExtendedCapabilityTests.BEH_02_05_08_behaviour. Blocked in the first execution (capability gap); executable after the rule DSL extension.</t>
        </is>
      </c>
    </row>
    <row r="174" ht="22.35" customHeight="1" s="16">
      <c r="A174" s="26" t="inlineStr">
        <is>
          <t>TM-BEH-05-02</t>
        </is>
      </c>
      <c r="B174" s="26" t="inlineStr">
        <is>
          <t>Behavioural Change &amp; Profile Mismatch</t>
        </is>
      </c>
      <c r="C174" s="26" t="inlineStr">
        <is>
          <t>BEH-05</t>
        </is>
      </c>
      <c r="D174" s="26" t="inlineStr">
        <is>
          <t>Minor or elderly customer high activity</t>
        </is>
      </c>
      <c r="E174" s="26" t="inlineStr">
        <is>
          <t>Negative</t>
        </is>
      </c>
      <c r="F174" s="26" t="inlineStr">
        <is>
          <t>Same customer pays utility bills only</t>
        </is>
      </c>
      <c r="G174" s="26" t="inlineStr">
        <is>
          <t>No alert</t>
        </is>
      </c>
      <c r="H174" s="26" t="inlineStr">
        <is>
          <t>Medium</t>
        </is>
      </c>
      <c r="I174" s="26" t="inlineStr">
        <is>
          <t>P2</t>
        </is>
      </c>
      <c r="J174" s="28" t="inlineStr">
        <is>
          <t>Pass</t>
        </is>
      </c>
      <c r="K174" s="29" t="inlineStr">
        <is>
          <t>Customer aged 79 paying utility bills only → 0 alerts.</t>
        </is>
      </c>
      <c r="L174" s="29" t="inlineStr">
        <is>
          <t>Claude (automated test suite)</t>
        </is>
      </c>
      <c r="M174" s="29" t="inlineStr">
        <is>
          <t>2026-10-15</t>
        </is>
      </c>
      <c r="N174" s="29" t="n"/>
      <c r="O174" s="29" t="inlineStr">
        <is>
          <t>Automated: ExtendedCapabilityTests.BEH_02_05_08_behaviour. Blocked in the first execution (capability gap); executable after the rule DSL extension.</t>
        </is>
      </c>
    </row>
    <row r="175" ht="22.35" customHeight="1" s="16">
      <c r="A175" s="26" t="inlineStr">
        <is>
          <t>TM-BEH-06-01</t>
        </is>
      </c>
      <c r="B175" s="26" t="inlineStr">
        <is>
          <t>Behavioural Change &amp; Profile Mismatch</t>
        </is>
      </c>
      <c r="C175" s="26" t="inlineStr">
        <is>
          <t>BEH-06</t>
        </is>
      </c>
      <c r="D175" s="26" t="inlineStr">
        <is>
          <t>Personal wallet used for business</t>
        </is>
      </c>
      <c r="E175" s="26" t="inlineStr">
        <is>
          <t>Positive</t>
        </is>
      </c>
      <c r="F175" s="26" t="inlineStr">
        <is>
          <t>Individual receives 60 payments from 55 payers totalling 6,000</t>
        </is>
      </c>
      <c r="G175" s="26" t="inlineStr">
        <is>
          <t>Alert raised (unregistered business)</t>
        </is>
      </c>
      <c r="H175" s="26" t="inlineStr">
        <is>
          <t>Medium</t>
        </is>
      </c>
      <c r="I175" s="26" t="inlineStr">
        <is>
          <t>P2</t>
        </is>
      </c>
      <c r="J175" s="28" t="inlineStr">
        <is>
          <t>Pass</t>
        </is>
      </c>
      <c r="K175" s="29" t="inlineStr">
        <is>
          <t>Individual receives 60 payments from 55 payers totalling 6,000 → 1 alert(s) (dedupKey rule/version/subject/window: one alert per calendar month).</t>
        </is>
      </c>
      <c r="L175" s="29" t="inlineStr">
        <is>
          <t>Claude (automated test suite)</t>
        </is>
      </c>
      <c r="M175" s="29" t="inlineStr">
        <is>
          <t>2026-10-15</t>
        </is>
      </c>
      <c r="N175" s="29" t="n"/>
      <c r="O175" s="29" t="inlineStr">
        <is>
          <t>Automated: BehaviourTests.BEH_06_personal_wallet_business_use</t>
        </is>
      </c>
    </row>
    <row r="176" ht="22.35" customHeight="1" s="16">
      <c r="A176" s="26" t="inlineStr">
        <is>
          <t>TM-BEH-06-02</t>
        </is>
      </c>
      <c r="B176" s="26" t="inlineStr">
        <is>
          <t>Behavioural Change &amp; Profile Mismatch</t>
        </is>
      </c>
      <c r="C176" s="26" t="inlineStr">
        <is>
          <t>BEH-06</t>
        </is>
      </c>
      <c r="D176" s="26" t="inlineStr">
        <is>
          <t>Personal wallet used for business</t>
        </is>
      </c>
      <c r="E176" s="26" t="inlineStr">
        <is>
          <t>Negative</t>
        </is>
      </c>
      <c r="F176" s="26" t="inlineStr">
        <is>
          <t>Registered merchant</t>
        </is>
      </c>
      <c r="G176" s="26" t="inlineStr">
        <is>
          <t>Rule not applicable</t>
        </is>
      </c>
      <c r="H176" s="26" t="inlineStr">
        <is>
          <t>Medium</t>
        </is>
      </c>
      <c r="I176" s="26" t="inlineStr">
        <is>
          <t>P2</t>
        </is>
      </c>
      <c r="J176" s="28" t="inlineStr">
        <is>
          <t>Pass</t>
        </is>
      </c>
      <c r="K176" s="29" t="inlineStr">
        <is>
          <t>Registered merchant with the same pattern → 0 alerts (rule scoped to Individual customers).</t>
        </is>
      </c>
      <c r="L176" s="29" t="inlineStr">
        <is>
          <t>Claude (automated test suite)</t>
        </is>
      </c>
      <c r="M176" s="29" t="inlineStr">
        <is>
          <t>2026-10-15</t>
        </is>
      </c>
      <c r="N176" s="29" t="n"/>
      <c r="O176" s="29" t="inlineStr">
        <is>
          <t>Automated: BehaviourTests.BEH_06_personal_wallet_business_use</t>
        </is>
      </c>
    </row>
    <row r="177" ht="22.35" customHeight="1" s="16">
      <c r="A177" s="26" t="inlineStr">
        <is>
          <t>TM-BEH-07-01</t>
        </is>
      </c>
      <c r="B177" s="26" t="inlineStr">
        <is>
          <t>Behavioural Change &amp; Profile Mismatch</t>
        </is>
      </c>
      <c r="C177" s="26" t="inlineStr">
        <is>
          <t>BEH-07</t>
        </is>
      </c>
      <c r="D177" s="26" t="inlineStr">
        <is>
          <t>Salary in, sent abroad immediately</t>
        </is>
      </c>
      <c r="E177" s="26" t="inlineStr">
        <is>
          <t>Positive</t>
        </is>
      </c>
      <c r="F177" s="26" t="inlineStr">
        <is>
          <t>3 months: salary 600 in, 580 remitted abroad next day</t>
        </is>
      </c>
      <c r="G177" s="26" t="inlineStr">
        <is>
          <t>Alert raised for review</t>
        </is>
      </c>
      <c r="H177" s="26" t="inlineStr">
        <is>
          <t>Low</t>
        </is>
      </c>
      <c r="I177" s="26" t="inlineStr">
        <is>
          <t>P3</t>
        </is>
      </c>
      <c r="J177" s="30" t="inlineStr">
        <is>
          <t>Blocked</t>
        </is>
      </c>
      <c r="K177" s="29" t="inlineStr">
        <is>
          <t>Capability gap — No salary-credit linkage or 'M consecutive months' pattern. Closest rule definition rejected by the rule validator: $.condition.aggregate: Unknown aggregate 'salaryRemittedShareConsecutiveMonths'.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77" s="29" t="inlineStr">
        <is>
          <t>Claude (automated test suite)</t>
        </is>
      </c>
      <c r="M177" s="29" t="inlineStr">
        <is>
          <t>2026-10-15</t>
        </is>
      </c>
      <c r="N177" s="29" t="inlineStr">
        <is>
          <t>GAP-BEH-07</t>
        </is>
      </c>
      <c r="O177" s="29" t="inlineStr">
        <is>
          <t>Automated: CapabilityGapTests.Scenario_not_configurable (rule validator evidence)</t>
        </is>
      </c>
    </row>
    <row r="178" ht="22.35" customHeight="1" s="16">
      <c r="A178" s="26" t="inlineStr">
        <is>
          <t>TM-BEH-07-02</t>
        </is>
      </c>
      <c r="B178" s="26" t="inlineStr">
        <is>
          <t>Behavioural Change &amp; Profile Mismatch</t>
        </is>
      </c>
      <c r="C178" s="26" t="inlineStr">
        <is>
          <t>BEH-07</t>
        </is>
      </c>
      <c r="D178" s="26" t="inlineStr">
        <is>
          <t>Salary in, sent abroad immediately</t>
        </is>
      </c>
      <c r="E178" s="26" t="inlineStr">
        <is>
          <t>Negative</t>
        </is>
      </c>
      <c r="F178" s="26" t="inlineStr">
        <is>
          <t>Remits 30% of salary</t>
        </is>
      </c>
      <c r="G178" s="26" t="inlineStr">
        <is>
          <t>No alert</t>
        </is>
      </c>
      <c r="H178" s="26" t="inlineStr">
        <is>
          <t>Low</t>
        </is>
      </c>
      <c r="I178" s="26" t="inlineStr">
        <is>
          <t>P3</t>
        </is>
      </c>
      <c r="J178" s="30" t="inlineStr">
        <is>
          <t>Blocked</t>
        </is>
      </c>
      <c r="K178" s="29" t="inlineStr">
        <is>
          <t>Capability gap — No salary-credit linkage or 'M consecutive months' pattern. Closest rule definition rejected by the rule validator: $.condition.aggregate: Unknown aggregate 'salaryRemittedShareConsecutiveMonths'.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78" s="29" t="inlineStr">
        <is>
          <t>Claude (automated test suite)</t>
        </is>
      </c>
      <c r="M178" s="29" t="inlineStr">
        <is>
          <t>2026-10-15</t>
        </is>
      </c>
      <c r="N178" s="29" t="inlineStr">
        <is>
          <t>GAP-BEH-07</t>
        </is>
      </c>
      <c r="O178" s="29" t="inlineStr">
        <is>
          <t>Automated: CapabilityGapTests.Scenario_not_configurable (rule validator evidence)</t>
        </is>
      </c>
    </row>
    <row r="179" ht="22.35" customHeight="1" s="16">
      <c r="A179" s="26" t="inlineStr">
        <is>
          <t>TM-BEH-08-01</t>
        </is>
      </c>
      <c r="B179" s="26" t="inlineStr">
        <is>
          <t>Behavioural Change &amp; Profile Mismatch</t>
        </is>
      </c>
      <c r="C179" s="26" t="inlineStr">
        <is>
          <t>BEH-08</t>
        </is>
      </c>
      <c r="D179" s="26" t="inlineStr">
        <is>
          <t>Change of contact details before large activity</t>
        </is>
      </c>
      <c r="E179" s="26" t="inlineStr">
        <is>
          <t>Positive</t>
        </is>
      </c>
      <c r="F179" s="26" t="inlineStr">
        <is>
          <t>Phone changed Monday, 2,500 transfers Tuesday</t>
        </is>
      </c>
      <c r="G179" s="26" t="inlineStr">
        <is>
          <t>Alert raised</t>
        </is>
      </c>
      <c r="H179" s="26" t="inlineStr">
        <is>
          <t>Medium</t>
        </is>
      </c>
      <c r="I179" s="26" t="inlineStr">
        <is>
          <t>P2</t>
        </is>
      </c>
      <c r="J179" s="28" t="inlineStr">
        <is>
          <t>Pass</t>
        </is>
      </c>
      <c r="K179" s="29" t="inlineStr">
        <is>
          <t>Phone changed Monday 09:00, 2,500 transferred Tuesday → 1 alert (minutesSinceEvent PhoneChange ≤ 3 days).</t>
        </is>
      </c>
      <c r="L179" s="29" t="inlineStr">
        <is>
          <t>Claude (automated test suite)</t>
        </is>
      </c>
      <c r="M179" s="29" t="inlineStr">
        <is>
          <t>2026-10-15</t>
        </is>
      </c>
      <c r="N179" s="29" t="n"/>
      <c r="O179" s="29" t="inlineStr">
        <is>
          <t>Automated: ExtendedCapabilityTests.BEH_02_05_08_behaviour. Blocked in the first execution (capability gap); executable after the rule DSL extension.</t>
        </is>
      </c>
    </row>
    <row r="180" ht="22.35" customHeight="1" s="16">
      <c r="A180" s="26" t="inlineStr">
        <is>
          <t>TM-BEH-08-02</t>
        </is>
      </c>
      <c r="B180" s="26" t="inlineStr">
        <is>
          <t>Behavioural Change &amp; Profile Mismatch</t>
        </is>
      </c>
      <c r="C180" s="26" t="inlineStr">
        <is>
          <t>BEH-08</t>
        </is>
      </c>
      <c r="D180" s="26" t="inlineStr">
        <is>
          <t>Change of contact details before large activity</t>
        </is>
      </c>
      <c r="E180" s="26" t="inlineStr">
        <is>
          <t>Negative</t>
        </is>
      </c>
      <c r="F180" s="26" t="inlineStr">
        <is>
          <t>Change 60 days earlier</t>
        </is>
      </c>
      <c r="G180" s="26" t="inlineStr">
        <is>
          <t>No alert</t>
        </is>
      </c>
      <c r="H180" s="26" t="inlineStr">
        <is>
          <t>Medium</t>
        </is>
      </c>
      <c r="I180" s="26" t="inlineStr">
        <is>
          <t>P2</t>
        </is>
      </c>
      <c r="J180" s="28" t="inlineStr">
        <is>
          <t>Pass</t>
        </is>
      </c>
      <c r="K180" s="29" t="inlineStr">
        <is>
          <t>Phone changed 60 days earlier → 0 alerts.</t>
        </is>
      </c>
      <c r="L180" s="29" t="inlineStr">
        <is>
          <t>Claude (automated test suite)</t>
        </is>
      </c>
      <c r="M180" s="29" t="inlineStr">
        <is>
          <t>2026-10-15</t>
        </is>
      </c>
      <c r="N180" s="29" t="n"/>
      <c r="O180" s="29" t="inlineStr">
        <is>
          <t>Automated: ExtendedCapabilityTests.BEH_02_05_08_behaviour. Blocked in the first execution (capability gap); executable after the rule DSL extension.</t>
        </is>
      </c>
    </row>
    <row r="181" ht="15" customHeight="1" s="16">
      <c r="A181" s="26" t="inlineStr">
        <is>
          <t>TM-CSH-01-01</t>
        </is>
      </c>
      <c r="B181" s="26" t="inlineStr">
        <is>
          <t>Cash-in / Cash-out</t>
        </is>
      </c>
      <c r="C181" s="26" t="inlineStr">
        <is>
          <t>CSH-01</t>
        </is>
      </c>
      <c r="D181" s="26" t="inlineStr">
        <is>
          <t>High cash-in volume</t>
        </is>
      </c>
      <c r="E181" s="26" t="inlineStr">
        <is>
          <t>Positive</t>
        </is>
      </c>
      <c r="F181" s="26" t="inlineStr">
        <is>
          <t>12 cash-ins totalling 11,000 in a month</t>
        </is>
      </c>
      <c r="G181" s="26" t="inlineStr">
        <is>
          <t>Alert raised</t>
        </is>
      </c>
      <c r="H181" s="26" t="inlineStr">
        <is>
          <t>Medium</t>
        </is>
      </c>
      <c r="I181" s="26" t="inlineStr">
        <is>
          <t>P1</t>
        </is>
      </c>
      <c r="J181" s="28" t="inlineStr">
        <is>
          <t>Pass</t>
        </is>
      </c>
      <c r="K181" s="29" t="inlineStr">
        <is>
          <t>12 cash-ins totalling 11,000 in July → 1 alert(s).</t>
        </is>
      </c>
      <c r="L181" s="29" t="inlineStr">
        <is>
          <t>Claude (automated test suite)</t>
        </is>
      </c>
      <c r="M181" s="29" t="inlineStr">
        <is>
          <t>2026-10-15</t>
        </is>
      </c>
      <c r="N181" s="29" t="n"/>
      <c r="O181" s="29" t="inlineStr">
        <is>
          <t>Automated: CashTests.CSH_01_high_cash_in</t>
        </is>
      </c>
    </row>
    <row r="182" ht="15" customHeight="1" s="16">
      <c r="A182" s="26" t="inlineStr">
        <is>
          <t>TM-CSH-01-02</t>
        </is>
      </c>
      <c r="B182" s="26" t="inlineStr">
        <is>
          <t>Cash-in / Cash-out</t>
        </is>
      </c>
      <c r="C182" s="26" t="inlineStr">
        <is>
          <t>CSH-01</t>
        </is>
      </c>
      <c r="D182" s="26" t="inlineStr">
        <is>
          <t>High cash-in volume</t>
        </is>
      </c>
      <c r="E182" s="26" t="inlineStr">
        <is>
          <t>Boundary</t>
        </is>
      </c>
      <c r="F182" s="26" t="inlineStr">
        <is>
          <t>9,999</t>
        </is>
      </c>
      <c r="G182" s="26" t="inlineStr">
        <is>
          <t>No alert</t>
        </is>
      </c>
      <c r="H182" s="26" t="inlineStr">
        <is>
          <t>Medium</t>
        </is>
      </c>
      <c r="I182" s="26" t="inlineStr">
        <is>
          <t>P1</t>
        </is>
      </c>
      <c r="J182" s="28" t="inlineStr">
        <is>
          <t>Pass</t>
        </is>
      </c>
      <c r="K182" s="29" t="inlineStr">
        <is>
          <t>Cash-ins totalling 9,999 → 0 alerts.</t>
        </is>
      </c>
      <c r="L182" s="29" t="inlineStr">
        <is>
          <t>Claude (automated test suite)</t>
        </is>
      </c>
      <c r="M182" s="29" t="inlineStr">
        <is>
          <t>2026-10-15</t>
        </is>
      </c>
      <c r="N182" s="29" t="n"/>
      <c r="O182" s="29" t="inlineStr">
        <is>
          <t>Automated: CashTests.CSH_01_high_cash_in</t>
        </is>
      </c>
    </row>
    <row r="183" ht="15" customHeight="1" s="16">
      <c r="A183" s="26" t="inlineStr">
        <is>
          <t>TM-CSH-01-03</t>
        </is>
      </c>
      <c r="B183" s="26" t="inlineStr">
        <is>
          <t>Cash-in / Cash-out</t>
        </is>
      </c>
      <c r="C183" s="26" t="inlineStr">
        <is>
          <t>CSH-01</t>
        </is>
      </c>
      <c r="D183" s="26" t="inlineStr">
        <is>
          <t>High cash-in volume</t>
        </is>
      </c>
      <c r="E183" s="26" t="inlineStr">
        <is>
          <t>Negative</t>
        </is>
      </c>
      <c r="F183" s="26" t="inlineStr">
        <is>
          <t>Same amount via salary transfer</t>
        </is>
      </c>
      <c r="G183" s="26" t="inlineStr">
        <is>
          <t>Not cash; no alert</t>
        </is>
      </c>
      <c r="H183" s="26" t="inlineStr">
        <is>
          <t>Medium</t>
        </is>
      </c>
      <c r="I183" s="26" t="inlineStr">
        <is>
          <t>P1</t>
        </is>
      </c>
      <c r="J183" s="28" t="inlineStr">
        <is>
          <t>Pass</t>
        </is>
      </c>
      <c r="K183" s="29" t="inlineStr">
        <is>
          <t>11,000 via salary transfers → 0 alerts (not cash).</t>
        </is>
      </c>
      <c r="L183" s="29" t="inlineStr">
        <is>
          <t>Claude (automated test suite)</t>
        </is>
      </c>
      <c r="M183" s="29" t="inlineStr">
        <is>
          <t>2026-10-15</t>
        </is>
      </c>
      <c r="N183" s="29" t="n"/>
      <c r="O183" s="29" t="inlineStr">
        <is>
          <t>Automated: CashTests.CSH_01_high_cash_in</t>
        </is>
      </c>
    </row>
    <row r="184" ht="15" customHeight="1" s="16">
      <c r="A184" s="26" t="inlineStr">
        <is>
          <t>TM-CSH-02-01</t>
        </is>
      </c>
      <c r="B184" s="26" t="inlineStr">
        <is>
          <t>Cash-in / Cash-out</t>
        </is>
      </c>
      <c r="C184" s="26" t="inlineStr">
        <is>
          <t>CSH-02</t>
        </is>
      </c>
      <c r="D184" s="26" t="inlineStr">
        <is>
          <t>Cash-in followed by remittance abroad</t>
        </is>
      </c>
      <c r="E184" s="26" t="inlineStr">
        <is>
          <t>Positive</t>
        </is>
      </c>
      <c r="F184" s="26" t="inlineStr">
        <is>
          <t>Cash-in 2,000; remittance 1,800 abroad 3 hours later</t>
        </is>
      </c>
      <c r="G184" s="26" t="inlineStr">
        <is>
          <t>Alert raised</t>
        </is>
      </c>
      <c r="H184" s="26" t="inlineStr">
        <is>
          <t>High</t>
        </is>
      </c>
      <c r="I184" s="26" t="inlineStr">
        <is>
          <t>P1</t>
        </is>
      </c>
      <c r="J184" s="28" t="inlineStr">
        <is>
          <t>Pass</t>
        </is>
      </c>
      <c r="K184" s="29" t="inlineStr">
        <is>
          <t>Cash-in 2,000 then 1,800 remitted abroad 3 h later (90%) → 1 alert(s).</t>
        </is>
      </c>
      <c r="L184" s="29" t="inlineStr">
        <is>
          <t>Claude (automated test suite)</t>
        </is>
      </c>
      <c r="M184" s="29" t="inlineStr">
        <is>
          <t>2026-10-15</t>
        </is>
      </c>
      <c r="N184" s="29" t="n"/>
      <c r="O184" s="29" t="inlineStr">
        <is>
          <t>Automated: CashTests.CSH_02_cash_in_then_remit_abroad. Note: the 80% is measured over all outflows within 24 h; a second condition requires a cross-border outflow in the window.</t>
        </is>
      </c>
    </row>
    <row r="185" ht="15" customHeight="1" s="16">
      <c r="A185" s="26" t="inlineStr">
        <is>
          <t>TM-CSH-02-02</t>
        </is>
      </c>
      <c r="B185" s="26" t="inlineStr">
        <is>
          <t>Cash-in / Cash-out</t>
        </is>
      </c>
      <c r="C185" s="26" t="inlineStr">
        <is>
          <t>CSH-02</t>
        </is>
      </c>
      <c r="D185" s="26" t="inlineStr">
        <is>
          <t>Cash-in followed by remittance abroad</t>
        </is>
      </c>
      <c r="E185" s="26" t="inlineStr">
        <is>
          <t>Negative</t>
        </is>
      </c>
      <c r="F185" s="26" t="inlineStr">
        <is>
          <t>Remittance 5 days later</t>
        </is>
      </c>
      <c r="G185" s="26" t="inlineStr">
        <is>
          <t>No alert</t>
        </is>
      </c>
      <c r="H185" s="26" t="inlineStr">
        <is>
          <t>High</t>
        </is>
      </c>
      <c r="I185" s="26" t="inlineStr">
        <is>
          <t>P1</t>
        </is>
      </c>
      <c r="J185" s="28" t="inlineStr">
        <is>
          <t>Pass</t>
        </is>
      </c>
      <c r="K185" s="29" t="inlineStr">
        <is>
          <t>Remittance 5 days later → 0 alerts.</t>
        </is>
      </c>
      <c r="L185" s="29" t="inlineStr">
        <is>
          <t>Claude (automated test suite)</t>
        </is>
      </c>
      <c r="M185" s="29" t="inlineStr">
        <is>
          <t>2026-10-15</t>
        </is>
      </c>
      <c r="N185" s="29" t="n"/>
      <c r="O185" s="29" t="inlineStr">
        <is>
          <t>Automated: CashTests.CSH_02_cash_in_then_remit_abroad</t>
        </is>
      </c>
    </row>
    <row r="186" ht="15" customHeight="1" s="16">
      <c r="A186" s="26" t="inlineStr">
        <is>
          <t>TM-CSH-03-01</t>
        </is>
      </c>
      <c r="B186" s="26" t="inlineStr">
        <is>
          <t>Cash-in / Cash-out</t>
        </is>
      </c>
      <c r="C186" s="26" t="inlineStr">
        <is>
          <t>CSH-03</t>
        </is>
      </c>
      <c r="D186" s="26" t="inlineStr">
        <is>
          <t>High cash-out ratio</t>
        </is>
      </c>
      <c r="E186" s="26" t="inlineStr">
        <is>
          <t>Positive</t>
        </is>
      </c>
      <c r="F186" s="26" t="inlineStr">
        <is>
          <t>Receives 5,000 by transfers, withdraws 4,800 cash</t>
        </is>
      </c>
      <c r="G186" s="26" t="inlineStr">
        <is>
          <t>Alert raised</t>
        </is>
      </c>
      <c r="H186" s="26" t="inlineStr">
        <is>
          <t>Medium</t>
        </is>
      </c>
      <c r="I186" s="26" t="inlineStr">
        <is>
          <t>P1</t>
        </is>
      </c>
      <c r="J186" s="28" t="inlineStr">
        <is>
          <t>Pass</t>
        </is>
      </c>
      <c r="K186" s="29" t="inlineStr">
        <is>
          <t>Receives 5,000 by transfer, withdraws 4,800 cash (96%) → 1 alert (ratio with independent numerator: cash-out out ÷ electronic in).</t>
        </is>
      </c>
      <c r="L186" s="29" t="inlineStr">
        <is>
          <t>Claude (automated test suite)</t>
        </is>
      </c>
      <c r="M186" s="29" t="inlineStr">
        <is>
          <t>2026-10-15</t>
        </is>
      </c>
      <c r="N186" s="29" t="n"/>
      <c r="O186" s="29" t="inlineStr">
        <is>
          <t>Automated: ExtendedCapabilityTests.CSH_03_CIR_02_03_MUL_02_04. Blocked in the first execution (capability gap); executable after the rule DSL extension.</t>
        </is>
      </c>
    </row>
    <row r="187" ht="15" customHeight="1" s="16">
      <c r="A187" s="26" t="inlineStr">
        <is>
          <t>TM-CSH-03-02</t>
        </is>
      </c>
      <c r="B187" s="26" t="inlineStr">
        <is>
          <t>Cash-in / Cash-out</t>
        </is>
      </c>
      <c r="C187" s="26" t="inlineStr">
        <is>
          <t>CSH-03</t>
        </is>
      </c>
      <c r="D187" s="26" t="inlineStr">
        <is>
          <t>High cash-out ratio</t>
        </is>
      </c>
      <c r="E187" s="26" t="inlineStr">
        <is>
          <t>Negative</t>
        </is>
      </c>
      <c r="F187" s="26" t="inlineStr">
        <is>
          <t>Spends at merchants</t>
        </is>
      </c>
      <c r="G187" s="26" t="inlineStr">
        <is>
          <t>No alert</t>
        </is>
      </c>
      <c r="H187" s="26" t="inlineStr">
        <is>
          <t>Medium</t>
        </is>
      </c>
      <c r="I187" s="26" t="inlineStr">
        <is>
          <t>P1</t>
        </is>
      </c>
      <c r="J187" s="28" t="inlineStr">
        <is>
          <t>Pass</t>
        </is>
      </c>
      <c r="K187" s="29" t="inlineStr">
        <is>
          <t>Spends at merchants → 0 alerts.</t>
        </is>
      </c>
      <c r="L187" s="29" t="inlineStr">
        <is>
          <t>Claude (automated test suite)</t>
        </is>
      </c>
      <c r="M187" s="29" t="inlineStr">
        <is>
          <t>2026-10-15</t>
        </is>
      </c>
      <c r="N187" s="29" t="n"/>
      <c r="O187" s="29" t="inlineStr">
        <is>
          <t>Automated: ExtendedCapabilityTests.CSH_03_CIR_02_03_MUL_02_04. Blocked in the first execution (capability gap); executable after the rule DSL extension.</t>
        </is>
      </c>
    </row>
    <row r="188" ht="15" customHeight="1" s="16">
      <c r="A188" s="26" t="inlineStr">
        <is>
          <t>TM-CSH-04-01</t>
        </is>
      </c>
      <c r="B188" s="26" t="inlineStr">
        <is>
          <t>Cash-in / Cash-out</t>
        </is>
      </c>
      <c r="C188" s="26" t="inlineStr">
        <is>
          <t>CSH-04</t>
        </is>
      </c>
      <c r="D188" s="26" t="inlineStr">
        <is>
          <t>Low-denomination cash-in pattern</t>
        </is>
      </c>
      <c r="E188" s="26" t="inlineStr">
        <is>
          <t>Positive</t>
        </is>
      </c>
      <c r="F188" s="26" t="inlineStr">
        <is>
          <t>12 cash-ins of 20 JOD at one agent in a day</t>
        </is>
      </c>
      <c r="G188" s="26" t="inlineStr">
        <is>
          <t>Alert raised</t>
        </is>
      </c>
      <c r="H188" s="26" t="inlineStr">
        <is>
          <t>Low</t>
        </is>
      </c>
      <c r="I188" s="26" t="inlineStr">
        <is>
          <t>P3</t>
        </is>
      </c>
      <c r="J188" s="28" t="inlineStr">
        <is>
          <t>Pass</t>
        </is>
      </c>
      <c r="K188" s="29" t="inlineStr">
        <is>
          <t>12 cash-ins of 20 at one agent in a day → 1 alert.</t>
        </is>
      </c>
      <c r="L188" s="29" t="inlineStr">
        <is>
          <t>Claude (automated test suite)</t>
        </is>
      </c>
      <c r="M188" s="29" t="inlineStr">
        <is>
          <t>2026-10-15</t>
        </is>
      </c>
      <c r="N188" s="29" t="n"/>
      <c r="O188" s="29" t="inlineStr">
        <is>
          <t>Automated: CashTests.CSH_04_low_denomination_cash_in. Note: the '±1 identical amount' tolerance is not expressible; configured as count of cash-ins ≤ 50.</t>
        </is>
      </c>
    </row>
    <row r="189" ht="15" customHeight="1" s="16">
      <c r="A189" s="26" t="inlineStr">
        <is>
          <t>TM-CSH-04-02</t>
        </is>
      </c>
      <c r="B189" s="26" t="inlineStr">
        <is>
          <t>Cash-in / Cash-out</t>
        </is>
      </c>
      <c r="C189" s="26" t="inlineStr">
        <is>
          <t>CSH-04</t>
        </is>
      </c>
      <c r="D189" s="26" t="inlineStr">
        <is>
          <t>Low-denomination cash-in pattern</t>
        </is>
      </c>
      <c r="E189" s="26" t="inlineStr">
        <is>
          <t>Negative</t>
        </is>
      </c>
      <c r="F189" s="26" t="inlineStr">
        <is>
          <t>3 cash-ins</t>
        </is>
      </c>
      <c r="G189" s="26" t="inlineStr">
        <is>
          <t>No alert</t>
        </is>
      </c>
      <c r="H189" s="26" t="inlineStr">
        <is>
          <t>Low</t>
        </is>
      </c>
      <c r="I189" s="26" t="inlineStr">
        <is>
          <t>P3</t>
        </is>
      </c>
      <c r="J189" s="28" t="inlineStr">
        <is>
          <t>Pass</t>
        </is>
      </c>
      <c r="K189" s="29" t="inlineStr">
        <is>
          <t>3 cash-ins → 0 alerts.</t>
        </is>
      </c>
      <c r="L189" s="29" t="inlineStr">
        <is>
          <t>Claude (automated test suite)</t>
        </is>
      </c>
      <c r="M189" s="29" t="inlineStr">
        <is>
          <t>2026-10-15</t>
        </is>
      </c>
      <c r="N189" s="29" t="n"/>
      <c r="O189" s="29" t="inlineStr">
        <is>
          <t>Automated: CashTests.CSH_04_low_denomination_cash_in</t>
        </is>
      </c>
    </row>
    <row r="190" ht="15" customHeight="1" s="16">
      <c r="A190" s="26" t="inlineStr">
        <is>
          <t>TM-CSH-05-01</t>
        </is>
      </c>
      <c r="B190" s="26" t="inlineStr">
        <is>
          <t>Cash-in / Cash-out</t>
        </is>
      </c>
      <c r="C190" s="26" t="inlineStr">
        <is>
          <t>CSH-05</t>
        </is>
      </c>
      <c r="D190" s="26" t="inlineStr">
        <is>
          <t>ATM withdrawals at many locations</t>
        </is>
      </c>
      <c r="E190" s="26" t="inlineStr">
        <is>
          <t>Positive</t>
        </is>
      </c>
      <c r="F190" s="26" t="inlineStr">
        <is>
          <t>Withdrawals at 6 different ATMs across the city in one day</t>
        </is>
      </c>
      <c r="G190" s="26" t="inlineStr">
        <is>
          <t>Alert raised</t>
        </is>
      </c>
      <c r="H190" s="26" t="inlineStr">
        <is>
          <t>Medium</t>
        </is>
      </c>
      <c r="I190" s="26" t="inlineStr">
        <is>
          <t>P2</t>
        </is>
      </c>
      <c r="J190" s="28" t="inlineStr">
        <is>
          <t>Pass</t>
        </is>
      </c>
      <c r="K190" s="29" t="inlineStr">
        <is>
          <t>Withdrawals at 6 different ATMs in one day → 1 alert (ATM terminal = counterparty identifier).</t>
        </is>
      </c>
      <c r="L190" s="29" t="inlineStr">
        <is>
          <t>Claude (automated test suite)</t>
        </is>
      </c>
      <c r="M190" s="29" t="inlineStr">
        <is>
          <t>2026-10-15</t>
        </is>
      </c>
      <c r="N190" s="29" t="n"/>
      <c r="O190" s="29" t="inlineStr">
        <is>
          <t>Automated: CashTests.CSH_05_many_atms</t>
        </is>
      </c>
    </row>
    <row r="191" ht="15" customHeight="1" s="16">
      <c r="A191" s="26" t="inlineStr">
        <is>
          <t>TM-CSH-05-02</t>
        </is>
      </c>
      <c r="B191" s="26" t="inlineStr">
        <is>
          <t>Cash-in / Cash-out</t>
        </is>
      </c>
      <c r="C191" s="26" t="inlineStr">
        <is>
          <t>CSH-05</t>
        </is>
      </c>
      <c r="D191" s="26" t="inlineStr">
        <is>
          <t>ATM withdrawals at many locations</t>
        </is>
      </c>
      <c r="E191" s="26" t="inlineStr">
        <is>
          <t>Negative</t>
        </is>
      </c>
      <c r="F191" s="26" t="inlineStr">
        <is>
          <t>2 ATMs</t>
        </is>
      </c>
      <c r="G191" s="26" t="inlineStr">
        <is>
          <t>No alert</t>
        </is>
      </c>
      <c r="H191" s="26" t="inlineStr">
        <is>
          <t>Medium</t>
        </is>
      </c>
      <c r="I191" s="26" t="inlineStr">
        <is>
          <t>P2</t>
        </is>
      </c>
      <c r="J191" s="28" t="inlineStr">
        <is>
          <t>Pass</t>
        </is>
      </c>
      <c r="K191" s="29" t="inlineStr">
        <is>
          <t>4 withdrawals at 2 ATMs → 0 alerts.</t>
        </is>
      </c>
      <c r="L191" s="29" t="inlineStr">
        <is>
          <t>Claude (automated test suite)</t>
        </is>
      </c>
      <c r="M191" s="29" t="inlineStr">
        <is>
          <t>2026-10-15</t>
        </is>
      </c>
      <c r="N191" s="29" t="n"/>
      <c r="O191" s="29" t="inlineStr">
        <is>
          <t>Automated: CashTests.CSH_05_many_atms</t>
        </is>
      </c>
    </row>
    <row r="192" ht="22.35" customHeight="1" s="16">
      <c r="A192" s="26" t="inlineStr">
        <is>
          <t>TM-AGT-01-01</t>
        </is>
      </c>
      <c r="B192" s="26" t="inlineStr">
        <is>
          <t>Agent Network</t>
        </is>
      </c>
      <c r="C192" s="26" t="inlineStr">
        <is>
          <t>AGT-01</t>
        </is>
      </c>
      <c r="D192" s="26" t="inlineStr">
        <is>
          <t>Agent self-dealing</t>
        </is>
      </c>
      <c r="E192" s="26" t="inlineStr">
        <is>
          <t>Positive</t>
        </is>
      </c>
      <c r="F192" s="26" t="inlineStr">
        <is>
          <t>Agent performs 8 cash-outs for wallets registered on the agent's own device</t>
        </is>
      </c>
      <c r="G192" s="26" t="inlineStr">
        <is>
          <t>Alert raised</t>
        </is>
      </c>
      <c r="H192" s="26" t="inlineStr">
        <is>
          <t>High</t>
        </is>
      </c>
      <c r="I192" s="26" t="inlineStr">
        <is>
          <t>P1</t>
        </is>
      </c>
      <c r="J192" s="30" t="inlineStr">
        <is>
          <t>Blocked</t>
        </is>
      </c>
      <c r="K192" s="29" t="inlineStr">
        <is>
          <t>Capability gap — Rules cannot test links between the agent and the customers it serves (shared ID/phone/device/family). Closest rule definition rejected by the rule validator: $.condition.aggregate: Unknown aggregate 'agentLinkedCustomerTxns'.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92" s="29" t="inlineStr">
        <is>
          <t>Claude (automated test suite)</t>
        </is>
      </c>
      <c r="M192" s="29" t="inlineStr">
        <is>
          <t>2026-10-15</t>
        </is>
      </c>
      <c r="N192" s="29" t="inlineStr">
        <is>
          <t>GAP-AGT-01</t>
        </is>
      </c>
      <c r="O192" s="29" t="inlineStr">
        <is>
          <t>Automated: CapabilityGapTests.Scenario_not_configurable (rule validator evidence)</t>
        </is>
      </c>
    </row>
    <row r="193" ht="15" customHeight="1" s="16">
      <c r="A193" s="26" t="inlineStr">
        <is>
          <t>TM-AGT-01-02</t>
        </is>
      </c>
      <c r="B193" s="26" t="inlineStr">
        <is>
          <t>Agent Network</t>
        </is>
      </c>
      <c r="C193" s="26" t="inlineStr">
        <is>
          <t>AGT-01</t>
        </is>
      </c>
      <c r="D193" s="26" t="inlineStr">
        <is>
          <t>Agent self-dealing</t>
        </is>
      </c>
      <c r="E193" s="26" t="inlineStr">
        <is>
          <t>Negative</t>
        </is>
      </c>
      <c r="F193" s="26" t="inlineStr">
        <is>
          <t>Unlinked customers</t>
        </is>
      </c>
      <c r="G193" s="26" t="inlineStr">
        <is>
          <t>No alert</t>
        </is>
      </c>
      <c r="H193" s="26" t="inlineStr">
        <is>
          <t>High</t>
        </is>
      </c>
      <c r="I193" s="26" t="inlineStr">
        <is>
          <t>P1</t>
        </is>
      </c>
      <c r="J193" s="30" t="inlineStr">
        <is>
          <t>Blocked</t>
        </is>
      </c>
      <c r="K193" s="29" t="inlineStr">
        <is>
          <t>Capability gap — Rules cannot test links between the agent and the customers it serves (shared ID/phone/device/family). Closest rule definition rejected by the rule validator: $.condition.aggregate: Unknown aggregate 'agentLinkedCustomerTxns'.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93" s="29" t="inlineStr">
        <is>
          <t>Claude (automated test suite)</t>
        </is>
      </c>
      <c r="M193" s="29" t="inlineStr">
        <is>
          <t>2026-10-15</t>
        </is>
      </c>
      <c r="N193" s="29" t="inlineStr">
        <is>
          <t>GAP-AGT-01</t>
        </is>
      </c>
      <c r="O193" s="29" t="inlineStr">
        <is>
          <t>Automated: CapabilityGapTests.Scenario_not_configurable (rule validator evidence)</t>
        </is>
      </c>
    </row>
    <row r="194" ht="15" customHeight="1" s="16">
      <c r="A194" s="26" t="inlineStr">
        <is>
          <t>TM-AGT-02-01</t>
        </is>
      </c>
      <c r="B194" s="26" t="inlineStr">
        <is>
          <t>Agent Network</t>
        </is>
      </c>
      <c r="C194" s="26" t="inlineStr">
        <is>
          <t>AGT-02</t>
        </is>
      </c>
      <c r="D194" s="26" t="inlineStr">
        <is>
          <t>Agent cash-out ratio anomaly</t>
        </is>
      </c>
      <c r="E194" s="26" t="inlineStr">
        <is>
          <t>Positive</t>
        </is>
      </c>
      <c r="F194" s="26" t="inlineStr">
        <is>
          <t>Agent ratio 9:1 where peers are 2:1</t>
        </is>
      </c>
      <c r="G194" s="26" t="inlineStr">
        <is>
          <t>Alert raised on agent</t>
        </is>
      </c>
      <c r="H194" s="26" t="inlineStr">
        <is>
          <t>Medium</t>
        </is>
      </c>
      <c r="I194" s="26" t="inlineStr">
        <is>
          <t>P1</t>
        </is>
      </c>
      <c r="J194" s="30" t="inlineStr">
        <is>
          <t>Blocked</t>
        </is>
      </c>
      <c r="K194" s="29" t="inlineStr">
        <is>
          <t>Capability gap — peerRatio uses agent volume, not the cash-out/cash-in ratio compared with a regional peer median × R. Closest rule definition rejected by the rule validator: $.condition.aggregate: Unknown aggregate 'peerRatioOfRatio'.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94" s="29" t="inlineStr">
        <is>
          <t>Claude (automated test suite)</t>
        </is>
      </c>
      <c r="M194" s="29" t="inlineStr">
        <is>
          <t>2026-10-15</t>
        </is>
      </c>
      <c r="N194" s="29" t="inlineStr">
        <is>
          <t>GAP-AGT-02</t>
        </is>
      </c>
      <c r="O194" s="29" t="inlineStr">
        <is>
          <t>Automated: CapabilityGapTests.Scenario_not_configurable (rule validator evidence)</t>
        </is>
      </c>
    </row>
    <row r="195" ht="15" customHeight="1" s="16">
      <c r="A195" s="26" t="inlineStr">
        <is>
          <t>TM-AGT-02-02</t>
        </is>
      </c>
      <c r="B195" s="26" t="inlineStr">
        <is>
          <t>Agent Network</t>
        </is>
      </c>
      <c r="C195" s="26" t="inlineStr">
        <is>
          <t>AGT-02</t>
        </is>
      </c>
      <c r="D195" s="26" t="inlineStr">
        <is>
          <t>Agent cash-out ratio anomaly</t>
        </is>
      </c>
      <c r="E195" s="26" t="inlineStr">
        <is>
          <t>Negative</t>
        </is>
      </c>
      <c r="F195" s="26" t="inlineStr">
        <is>
          <t>Ratio in peer range</t>
        </is>
      </c>
      <c r="G195" s="26" t="inlineStr">
        <is>
          <t>No alert</t>
        </is>
      </c>
      <c r="H195" s="26" t="inlineStr">
        <is>
          <t>Medium</t>
        </is>
      </c>
      <c r="I195" s="26" t="inlineStr">
        <is>
          <t>P1</t>
        </is>
      </c>
      <c r="J195" s="30" t="inlineStr">
        <is>
          <t>Blocked</t>
        </is>
      </c>
      <c r="K195" s="29" t="inlineStr">
        <is>
          <t>Capability gap — peerRatio uses agent volume, not the cash-out/cash-in ratio compared with a regional peer median × R. Closest rule definition rejected by the rule validator: $.condition.aggregate: Unknown aggregate 'peerRatioOfRatio'.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95" s="29" t="inlineStr">
        <is>
          <t>Claude (automated test suite)</t>
        </is>
      </c>
      <c r="M195" s="29" t="inlineStr">
        <is>
          <t>2026-10-15</t>
        </is>
      </c>
      <c r="N195" s="29" t="inlineStr">
        <is>
          <t>GAP-AGT-02</t>
        </is>
      </c>
      <c r="O195" s="29" t="inlineStr">
        <is>
          <t>Automated: CapabilityGapTests.Scenario_not_configurable (rule validator evidence)</t>
        </is>
      </c>
    </row>
    <row r="196" ht="15" customHeight="1" s="16">
      <c r="A196" s="26" t="inlineStr">
        <is>
          <t>TM-AGT-03-01</t>
        </is>
      </c>
      <c r="B196" s="26" t="inlineStr">
        <is>
          <t>Agent Network</t>
        </is>
      </c>
      <c r="C196" s="26" t="inlineStr">
        <is>
          <t>AGT-03</t>
        </is>
      </c>
      <c r="D196" s="26" t="inlineStr">
        <is>
          <t>Many registrations by one agent</t>
        </is>
      </c>
      <c r="E196" s="26" t="inlineStr">
        <is>
          <t>Positive</t>
        </is>
      </c>
      <c r="F196" s="26" t="inlineStr">
        <is>
          <t>Agent registers 70 customers in a week</t>
        </is>
      </c>
      <c r="G196" s="26" t="inlineStr">
        <is>
          <t>Alert raised</t>
        </is>
      </c>
      <c r="H196" s="26" t="inlineStr">
        <is>
          <t>Medium</t>
        </is>
      </c>
      <c r="I196" s="26" t="inlineStr">
        <is>
          <t>P2</t>
        </is>
      </c>
      <c r="J196" s="28" t="inlineStr">
        <is>
          <t>Pass</t>
        </is>
      </c>
      <c r="K196" s="29" t="inlineStr">
        <is>
          <t>Agent registered 70 customers in the week → 1 agent alert.</t>
        </is>
      </c>
      <c r="L196" s="29" t="inlineStr">
        <is>
          <t>Claude (automated test suite)</t>
        </is>
      </c>
      <c r="M196" s="29" t="inlineStr">
        <is>
          <t>2026-10-15</t>
        </is>
      </c>
      <c r="N196" s="29" t="n"/>
      <c r="O196" s="29" t="inlineStr">
        <is>
          <t>Automated: AgentTests.AGT_03_many_registrations</t>
        </is>
      </c>
    </row>
    <row r="197" ht="15" customHeight="1" s="16">
      <c r="A197" s="26" t="inlineStr">
        <is>
          <t>TM-AGT-03-02</t>
        </is>
      </c>
      <c r="B197" s="26" t="inlineStr">
        <is>
          <t>Agent Network</t>
        </is>
      </c>
      <c r="C197" s="26" t="inlineStr">
        <is>
          <t>AGT-03</t>
        </is>
      </c>
      <c r="D197" s="26" t="inlineStr">
        <is>
          <t>Many registrations by one agent</t>
        </is>
      </c>
      <c r="E197" s="26" t="inlineStr">
        <is>
          <t>Negative</t>
        </is>
      </c>
      <c r="F197" s="26" t="inlineStr">
        <is>
          <t>20 registrations</t>
        </is>
      </c>
      <c r="G197" s="26" t="inlineStr">
        <is>
          <t>No alert</t>
        </is>
      </c>
      <c r="H197" s="26" t="inlineStr">
        <is>
          <t>Medium</t>
        </is>
      </c>
      <c r="I197" s="26" t="inlineStr">
        <is>
          <t>P2</t>
        </is>
      </c>
      <c r="J197" s="28" t="inlineStr">
        <is>
          <t>Pass</t>
        </is>
      </c>
      <c r="K197" s="29" t="inlineStr">
        <is>
          <t>20 registrations → 0 alerts.</t>
        </is>
      </c>
      <c r="L197" s="29" t="inlineStr">
        <is>
          <t>Claude (automated test suite)</t>
        </is>
      </c>
      <c r="M197" s="29" t="inlineStr">
        <is>
          <t>2026-10-15</t>
        </is>
      </c>
      <c r="N197" s="29" t="n"/>
      <c r="O197" s="29" t="inlineStr">
        <is>
          <t>Automated: AgentTests.AGT_03_many_registrations</t>
        </is>
      </c>
    </row>
    <row r="198" ht="15" customHeight="1" s="16">
      <c r="A198" s="26" t="inlineStr">
        <is>
          <t>TM-AGT-03-03</t>
        </is>
      </c>
      <c r="B198" s="26" t="inlineStr">
        <is>
          <t>Agent Network</t>
        </is>
      </c>
      <c r="C198" s="26" t="inlineStr">
        <is>
          <t>AGT-03</t>
        </is>
      </c>
      <c r="D198" s="26" t="inlineStr">
        <is>
          <t>Many registrations by one agent</t>
        </is>
      </c>
      <c r="E198" s="26" t="inlineStr">
        <is>
          <t>Edge</t>
        </is>
      </c>
      <c r="F198" s="26" t="inlineStr">
        <is>
          <t>Agent at university campus with approved campaign flag</t>
        </is>
      </c>
      <c r="G198" s="26" t="inlineStr">
        <is>
          <t>Uses campaign threshold</t>
        </is>
      </c>
      <c r="H198" s="26" t="inlineStr">
        <is>
          <t>Medium</t>
        </is>
      </c>
      <c r="I198" s="26" t="inlineStr">
        <is>
          <t>P2</t>
        </is>
      </c>
      <c r="J198" s="28" t="inlineStr">
        <is>
          <t>Pass</t>
        </is>
      </c>
      <c r="K198" s="29" t="inlineStr">
        <is>
          <t>Campus agent with approved campaign flag (dynamic field TM_AGENT_CAMPAIGN) and 70 registrations → 0 alerts; campaign threshold 150 applied by the rule.</t>
        </is>
      </c>
      <c r="L198" s="29" t="inlineStr">
        <is>
          <t>Claude (automated test suite)</t>
        </is>
      </c>
      <c r="M198" s="29" t="inlineStr">
        <is>
          <t>2026-10-15</t>
        </is>
      </c>
      <c r="N198" s="29" t="n"/>
      <c r="O198" s="29" t="inlineStr">
        <is>
          <t>Automated: AgentTests.AGT_03_many_registrations</t>
        </is>
      </c>
    </row>
    <row r="199" ht="15" customHeight="1" s="16">
      <c r="A199" s="26" t="inlineStr">
        <is>
          <t>TM-AGT-04-01</t>
        </is>
      </c>
      <c r="B199" s="26" t="inlineStr">
        <is>
          <t>Agent Network</t>
        </is>
      </c>
      <c r="C199" s="26" t="inlineStr">
        <is>
          <t>AGT-04</t>
        </is>
      </c>
      <c r="D199" s="26" t="inlineStr">
        <is>
          <t>Registrations then immediate activity</t>
        </is>
      </c>
      <c r="E199" s="26" t="inlineStr">
        <is>
          <t>Positive</t>
        </is>
      </c>
      <c r="F199" s="26" t="inlineStr">
        <is>
          <t>30 of 50 new customers each receive and cash out 600 on day 1</t>
        </is>
      </c>
      <c r="G199" s="26" t="inlineStr">
        <is>
          <t>Alert raised (account farming)</t>
        </is>
      </c>
      <c r="H199" s="26" t="inlineStr">
        <is>
          <t>High</t>
        </is>
      </c>
      <c r="I199" s="26" t="inlineStr">
        <is>
          <t>P2</t>
        </is>
      </c>
      <c r="J199" s="30" t="inlineStr">
        <is>
          <t>Blocked</t>
        </is>
      </c>
      <c r="K199" s="29" t="inlineStr">
        <is>
          <t>Capability gap — No 'customers registered by agent who transact within 24 h' share aggregate. Closest rule definition rejected by the rule validator: $.condition.aggregate: Unknown aggregate 'agentNewCustomerActiveShare'.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199" s="29" t="inlineStr">
        <is>
          <t>Claude (automated test suite)</t>
        </is>
      </c>
      <c r="M199" s="29" t="inlineStr">
        <is>
          <t>2026-10-15</t>
        </is>
      </c>
      <c r="N199" s="29" t="inlineStr">
        <is>
          <t>GAP-AGT-04</t>
        </is>
      </c>
      <c r="O199" s="29" t="inlineStr">
        <is>
          <t>Automated: CapabilityGapTests.Scenario_not_configurable (rule validator evidence)</t>
        </is>
      </c>
    </row>
    <row r="200" ht="15" customHeight="1" s="16">
      <c r="A200" s="26" t="inlineStr">
        <is>
          <t>TM-AGT-04-02</t>
        </is>
      </c>
      <c r="B200" s="26" t="inlineStr">
        <is>
          <t>Agent Network</t>
        </is>
      </c>
      <c r="C200" s="26" t="inlineStr">
        <is>
          <t>AGT-04</t>
        </is>
      </c>
      <c r="D200" s="26" t="inlineStr">
        <is>
          <t>Registrations then immediate activity</t>
        </is>
      </c>
      <c r="E200" s="26" t="inlineStr">
        <is>
          <t>Negative</t>
        </is>
      </c>
      <c r="F200" s="26" t="inlineStr">
        <is>
          <t>Normal activity distribution</t>
        </is>
      </c>
      <c r="G200" s="26" t="inlineStr">
        <is>
          <t>No alert</t>
        </is>
      </c>
      <c r="H200" s="26" t="inlineStr">
        <is>
          <t>High</t>
        </is>
      </c>
      <c r="I200" s="26" t="inlineStr">
        <is>
          <t>P2</t>
        </is>
      </c>
      <c r="J200" s="30" t="inlineStr">
        <is>
          <t>Blocked</t>
        </is>
      </c>
      <c r="K200" s="29" t="inlineStr">
        <is>
          <t>Capability gap — No 'customers registered by agent who transact within 24 h' share aggregate. Closest rule definition rejected by the rule validator: $.condition.aggregate: Unknown aggregate 'agentNewCustomerActiveShare'.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00" s="29" t="inlineStr">
        <is>
          <t>Claude (automated test suite)</t>
        </is>
      </c>
      <c r="M200" s="29" t="inlineStr">
        <is>
          <t>2026-10-15</t>
        </is>
      </c>
      <c r="N200" s="29" t="inlineStr">
        <is>
          <t>GAP-AGT-04</t>
        </is>
      </c>
      <c r="O200" s="29" t="inlineStr">
        <is>
          <t>Automated: CapabilityGapTests.Scenario_not_configurable (rule validator evidence)</t>
        </is>
      </c>
    </row>
    <row r="201" ht="22.35" customHeight="1" s="16">
      <c r="A201" s="26" t="inlineStr">
        <is>
          <t>TM-AGT-05-01</t>
        </is>
      </c>
      <c r="B201" s="26" t="inlineStr">
        <is>
          <t>Agent Network</t>
        </is>
      </c>
      <c r="C201" s="26" t="inlineStr">
        <is>
          <t>AGT-05</t>
        </is>
      </c>
      <c r="D201" s="26" t="inlineStr">
        <is>
          <t>Agent transactions outside operating hours</t>
        </is>
      </c>
      <c r="E201" s="26" t="inlineStr">
        <is>
          <t>Positive</t>
        </is>
      </c>
      <c r="F201" s="26" t="inlineStr">
        <is>
          <t>12 cash-outs at 02:00–04:00</t>
        </is>
      </c>
      <c r="G201" s="26" t="inlineStr">
        <is>
          <t>Alert raised</t>
        </is>
      </c>
      <c r="H201" s="26" t="inlineStr">
        <is>
          <t>Low</t>
        </is>
      </c>
      <c r="I201" s="26" t="inlineStr">
        <is>
          <t>P3</t>
        </is>
      </c>
      <c r="J201" s="28" t="inlineStr">
        <is>
          <t>Pass</t>
        </is>
      </c>
      <c r="K201" s="29" t="inlineStr">
        <is>
          <t>12 cash-outs between 02:00 and 03:50 local → 1 agent alert(s).</t>
        </is>
      </c>
      <c r="L201" s="29" t="inlineStr">
        <is>
          <t>Claude (automated test suite)</t>
        </is>
      </c>
      <c r="M201" s="29" t="inlineStr">
        <is>
          <t>2026-10-15</t>
        </is>
      </c>
      <c r="N201" s="29" t="n"/>
      <c r="O201" s="29" t="inlineStr">
        <is>
          <t>Automated: AgentTests.AGT_05_outside_hours</t>
        </is>
      </c>
    </row>
    <row r="202" ht="22.35" customHeight="1" s="16">
      <c r="A202" s="26" t="inlineStr">
        <is>
          <t>TM-AGT-05-02</t>
        </is>
      </c>
      <c r="B202" s="26" t="inlineStr">
        <is>
          <t>Agent Network</t>
        </is>
      </c>
      <c r="C202" s="26" t="inlineStr">
        <is>
          <t>AGT-05</t>
        </is>
      </c>
      <c r="D202" s="26" t="inlineStr">
        <is>
          <t>Agent transactions outside operating hours</t>
        </is>
      </c>
      <c r="E202" s="26" t="inlineStr">
        <is>
          <t>Negative</t>
        </is>
      </c>
      <c r="F202" s="26" t="inlineStr">
        <is>
          <t>Within hours</t>
        </is>
      </c>
      <c r="G202" s="26" t="inlineStr">
        <is>
          <t>No alert</t>
        </is>
      </c>
      <c r="H202" s="26" t="inlineStr">
        <is>
          <t>Low</t>
        </is>
      </c>
      <c r="I202" s="26" t="inlineStr">
        <is>
          <t>P3</t>
        </is>
      </c>
      <c r="J202" s="28" t="inlineStr">
        <is>
          <t>Pass</t>
        </is>
      </c>
      <c r="K202" s="29" t="inlineStr">
        <is>
          <t>12 cash-outs within operating hours → 0 alerts.</t>
        </is>
      </c>
      <c r="L202" s="29" t="inlineStr">
        <is>
          <t>Claude (automated test suite)</t>
        </is>
      </c>
      <c r="M202" s="29" t="inlineStr">
        <is>
          <t>2026-10-15</t>
        </is>
      </c>
      <c r="N202" s="29" t="n"/>
      <c r="O202" s="29" t="inlineStr">
        <is>
          <t>Automated: AgentTests.AGT_05_outside_hours</t>
        </is>
      </c>
    </row>
    <row r="203" ht="22.35" customHeight="1" s="16">
      <c r="A203" s="26" t="inlineStr">
        <is>
          <t>TM-AGT-06-01</t>
        </is>
      </c>
      <c r="B203" s="26" t="inlineStr">
        <is>
          <t>Agent Network</t>
        </is>
      </c>
      <c r="C203" s="26" t="inlineStr">
        <is>
          <t>AGT-06</t>
        </is>
      </c>
      <c r="D203" s="26" t="inlineStr">
        <is>
          <t>Same customer repeatedly using one distant agent</t>
        </is>
      </c>
      <c r="E203" s="26" t="inlineStr">
        <is>
          <t>Positive</t>
        </is>
      </c>
      <c r="F203" s="26" t="inlineStr">
        <is>
          <t>Customer living in Irbid cashes out 10 times at the same agent in Aqaba</t>
        </is>
      </c>
      <c r="G203" s="26" t="inlineStr">
        <is>
          <t>Alert raised</t>
        </is>
      </c>
      <c r="H203" s="26" t="inlineStr">
        <is>
          <t>Low</t>
        </is>
      </c>
      <c r="I203" s="26" t="inlineStr">
        <is>
          <t>P3</t>
        </is>
      </c>
      <c r="J203" s="30" t="inlineStr">
        <is>
          <t>Blocked</t>
        </is>
      </c>
      <c r="K203" s="29" t="inlineStr">
        <is>
          <t>Capability gap — Agent location / customer residence distance is not modelled. Closest rule definition rejected by the rule validator: $.condition.aggregate: Unknown aggregate 'agentDistanceKm'.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03" s="29" t="inlineStr">
        <is>
          <t>Claude (automated test suite)</t>
        </is>
      </c>
      <c r="M203" s="29" t="inlineStr">
        <is>
          <t>2026-10-15</t>
        </is>
      </c>
      <c r="N203" s="29" t="inlineStr">
        <is>
          <t>GAP-AGT-06</t>
        </is>
      </c>
      <c r="O203" s="29" t="inlineStr">
        <is>
          <t>Automated: CapabilityGapTests.Scenario_not_configurable (rule validator evidence)</t>
        </is>
      </c>
    </row>
    <row r="204" ht="22.35" customHeight="1" s="16">
      <c r="A204" s="26" t="inlineStr">
        <is>
          <t>TM-AGT-06-02</t>
        </is>
      </c>
      <c r="B204" s="26" t="inlineStr">
        <is>
          <t>Agent Network</t>
        </is>
      </c>
      <c r="C204" s="26" t="inlineStr">
        <is>
          <t>AGT-06</t>
        </is>
      </c>
      <c r="D204" s="26" t="inlineStr">
        <is>
          <t>Same customer repeatedly using one distant agent</t>
        </is>
      </c>
      <c r="E204" s="26" t="inlineStr">
        <is>
          <t>Negative</t>
        </is>
      </c>
      <c r="F204" s="26" t="inlineStr">
        <is>
          <t>Agent near workplace declared in profile</t>
        </is>
      </c>
      <c r="G204" s="26" t="inlineStr">
        <is>
          <t>No alert</t>
        </is>
      </c>
      <c r="H204" s="26" t="inlineStr">
        <is>
          <t>Low</t>
        </is>
      </c>
      <c r="I204" s="26" t="inlineStr">
        <is>
          <t>P3</t>
        </is>
      </c>
      <c r="J204" s="30" t="inlineStr">
        <is>
          <t>Blocked</t>
        </is>
      </c>
      <c r="K204" s="29" t="inlineStr">
        <is>
          <t>Capability gap — Agent location / customer residence distance is not modelled. Closest rule definition rejected by the rule validator: $.condition.aggregate: Unknown aggregate 'agentDistanceKm'.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04" s="29" t="inlineStr">
        <is>
          <t>Claude (automated test suite)</t>
        </is>
      </c>
      <c r="M204" s="29" t="inlineStr">
        <is>
          <t>2026-10-15</t>
        </is>
      </c>
      <c r="N204" s="29" t="inlineStr">
        <is>
          <t>GAP-AGT-06</t>
        </is>
      </c>
      <c r="O204" s="29" t="inlineStr">
        <is>
          <t>Automated: CapabilityGapTests.Scenario_not_configurable (rule validator evidence)</t>
        </is>
      </c>
    </row>
    <row r="205" ht="15" customHeight="1" s="16">
      <c r="A205" s="26" t="inlineStr">
        <is>
          <t>TM-AGT-07-01</t>
        </is>
      </c>
      <c r="B205" s="26" t="inlineStr">
        <is>
          <t>Agent Network</t>
        </is>
      </c>
      <c r="C205" s="26" t="inlineStr">
        <is>
          <t>AGT-07</t>
        </is>
      </c>
      <c r="D205" s="26" t="inlineStr">
        <is>
          <t>Agent split transactions for customers</t>
        </is>
      </c>
      <c r="E205" s="26" t="inlineStr">
        <is>
          <t>Positive</t>
        </is>
      </c>
      <c r="F205" s="26" t="inlineStr">
        <is>
          <t>Agent does 5 cash-outs of 190 for C15 within 10 minutes (limit 200)</t>
        </is>
      </c>
      <c r="G205" s="26" t="inlineStr">
        <is>
          <t>Alert on agent and customer</t>
        </is>
      </c>
      <c r="H205" s="26" t="inlineStr">
        <is>
          <t>High</t>
        </is>
      </c>
      <c r="I205" s="26" t="inlineStr">
        <is>
          <t>P1</t>
        </is>
      </c>
      <c r="J205" s="28" t="inlineStr">
        <is>
          <t>Pass</t>
        </is>
      </c>
      <c r="K205" s="29" t="inlineStr">
        <is>
          <t>Agent performs 5 cash-outs of 190 for C15 within 8 minutes → agent alert 1, customer alert 1.</t>
        </is>
      </c>
      <c r="L205" s="29" t="inlineStr">
        <is>
          <t>Claude (automated test suite)</t>
        </is>
      </c>
      <c r="M205" s="29" t="inlineStr">
        <is>
          <t>2026-10-15</t>
        </is>
      </c>
      <c r="N205" s="29" t="n"/>
      <c r="O205" s="29" t="inlineStr">
        <is>
          <t>Automated: AgentTests.AGT_07_agent_split_transactions. Note: configured as two rules (agent subject and customer subject); the agent rule cannot additionally group by 'same customer'.</t>
        </is>
      </c>
    </row>
    <row r="206" ht="15" customHeight="1" s="16">
      <c r="A206" s="26" t="inlineStr">
        <is>
          <t>TM-AGT-07-02</t>
        </is>
      </c>
      <c r="B206" s="26" t="inlineStr">
        <is>
          <t>Agent Network</t>
        </is>
      </c>
      <c r="C206" s="26" t="inlineStr">
        <is>
          <t>AGT-07</t>
        </is>
      </c>
      <c r="D206" s="26" t="inlineStr">
        <is>
          <t>Agent split transactions for customers</t>
        </is>
      </c>
      <c r="E206" s="26" t="inlineStr">
        <is>
          <t>Negative</t>
        </is>
      </c>
      <c r="F206" s="26" t="inlineStr">
        <is>
          <t>1 transaction</t>
        </is>
      </c>
      <c r="G206" s="26" t="inlineStr">
        <is>
          <t>No alert</t>
        </is>
      </c>
      <c r="H206" s="26" t="inlineStr">
        <is>
          <t>High</t>
        </is>
      </c>
      <c r="I206" s="26" t="inlineStr">
        <is>
          <t>P1</t>
        </is>
      </c>
      <c r="J206" s="28" t="inlineStr">
        <is>
          <t>Pass</t>
        </is>
      </c>
      <c r="K206" s="29" t="inlineStr">
        <is>
          <t>1 transaction → 0 agent and 0 customer alerts.</t>
        </is>
      </c>
      <c r="L206" s="29" t="inlineStr">
        <is>
          <t>Claude (automated test suite)</t>
        </is>
      </c>
      <c r="M206" s="29" t="inlineStr">
        <is>
          <t>2026-10-15</t>
        </is>
      </c>
      <c r="N206" s="29" t="n"/>
      <c r="O206" s="29" t="inlineStr">
        <is>
          <t>Automated: AgentTests.AGT_07_agent_split_transactions</t>
        </is>
      </c>
    </row>
    <row r="207" ht="22.35" customHeight="1" s="16">
      <c r="A207" s="26" t="inlineStr">
        <is>
          <t>TM-MER-01-01</t>
        </is>
      </c>
      <c r="B207" s="26" t="inlineStr">
        <is>
          <t>Merchant</t>
        </is>
      </c>
      <c r="C207" s="26" t="inlineStr">
        <is>
          <t>MER-01</t>
        </is>
      </c>
      <c r="D207" s="26" t="inlineStr">
        <is>
          <t>Merchant volume inconsistent with business type</t>
        </is>
      </c>
      <c r="E207" s="26" t="inlineStr">
        <is>
          <t>Positive</t>
        </is>
      </c>
      <c r="F207" s="26" t="inlineStr">
        <is>
          <t>Small grocery with expected 2,000/month processes 9,000</t>
        </is>
      </c>
      <c r="G207" s="26" t="inlineStr">
        <is>
          <t>Alert raised</t>
        </is>
      </c>
      <c r="H207" s="26" t="inlineStr">
        <is>
          <t>Medium</t>
        </is>
      </c>
      <c r="I207" s="26" t="inlineStr">
        <is>
          <t>P1</t>
        </is>
      </c>
      <c r="J207" s="28" t="inlineStr">
        <is>
          <t>Pass</t>
        </is>
      </c>
      <c r="K207" s="29" t="inlineStr">
        <is>
          <t>Grocery with expected 2,000/month processes 9,000 (450%) → 1 alert.</t>
        </is>
      </c>
      <c r="L207" s="29" t="inlineStr">
        <is>
          <t>Claude (automated test suite)</t>
        </is>
      </c>
      <c r="M207" s="29" t="inlineStr">
        <is>
          <t>2026-10-15</t>
        </is>
      </c>
      <c r="N207" s="29" t="n"/>
      <c r="O207" s="29" t="inlineStr">
        <is>
          <t>Automated: MerchantReversalTests.MER_01_merchant_volume_vs_profile. Note: expected volume comes from the merchant's own financial profile (no MCC/business-size benchmark table).</t>
        </is>
      </c>
    </row>
    <row r="208" ht="22.35" customHeight="1" s="16">
      <c r="A208" s="26" t="inlineStr">
        <is>
          <t>TM-MER-01-02</t>
        </is>
      </c>
      <c r="B208" s="26" t="inlineStr">
        <is>
          <t>Merchant</t>
        </is>
      </c>
      <c r="C208" s="26" t="inlineStr">
        <is>
          <t>MER-01</t>
        </is>
      </c>
      <c r="D208" s="26" t="inlineStr">
        <is>
          <t>Merchant volume inconsistent with business type</t>
        </is>
      </c>
      <c r="E208" s="26" t="inlineStr">
        <is>
          <t>Negative</t>
        </is>
      </c>
      <c r="F208" s="26" t="inlineStr">
        <is>
          <t>Volume 2,500</t>
        </is>
      </c>
      <c r="G208" s="26" t="inlineStr">
        <is>
          <t>No alert</t>
        </is>
      </c>
      <c r="H208" s="26" t="inlineStr">
        <is>
          <t>Medium</t>
        </is>
      </c>
      <c r="I208" s="26" t="inlineStr">
        <is>
          <t>P1</t>
        </is>
      </c>
      <c r="J208" s="28" t="inlineStr">
        <is>
          <t>Pass</t>
        </is>
      </c>
      <c r="K208" s="29" t="inlineStr">
        <is>
          <t>Volume 2,500 (125%) → 0 alerts.</t>
        </is>
      </c>
      <c r="L208" s="29" t="inlineStr">
        <is>
          <t>Claude (automated test suite)</t>
        </is>
      </c>
      <c r="M208" s="29" t="inlineStr">
        <is>
          <t>2026-10-15</t>
        </is>
      </c>
      <c r="N208" s="29" t="n"/>
      <c r="O208" s="29" t="inlineStr">
        <is>
          <t>Automated: MerchantReversalTests.MER_01_merchant_volume_vs_profile</t>
        </is>
      </c>
    </row>
    <row r="209" ht="15" customHeight="1" s="16">
      <c r="A209" s="26" t="inlineStr">
        <is>
          <t>TM-MER-02-01</t>
        </is>
      </c>
      <c r="B209" s="26" t="inlineStr">
        <is>
          <t>Merchant</t>
        </is>
      </c>
      <c r="C209" s="26" t="inlineStr">
        <is>
          <t>MER-02</t>
        </is>
      </c>
      <c r="D209" s="26" t="inlineStr">
        <is>
          <t>Merchant split payments</t>
        </is>
      </c>
      <c r="E209" s="26" t="inlineStr">
        <is>
          <t>Positive</t>
        </is>
      </c>
      <c r="F209" s="26" t="inlineStr">
        <is>
          <t>Customer pays merchant 3 × 330 in 5 minutes (merchant limit 350)</t>
        </is>
      </c>
      <c r="G209" s="26" t="inlineStr">
        <is>
          <t>Alert raised</t>
        </is>
      </c>
      <c r="H209" s="26" t="inlineStr">
        <is>
          <t>Medium</t>
        </is>
      </c>
      <c r="I209" s="26" t="inlineStr">
        <is>
          <t>P2</t>
        </is>
      </c>
      <c r="J209" s="28" t="inlineStr">
        <is>
          <t>Pass</t>
        </is>
      </c>
      <c r="K209" s="29" t="inlineStr">
        <is>
          <t>3 × 330 to the same merchant in 4 minutes → 1 alert.</t>
        </is>
      </c>
      <c r="L209" s="29" t="inlineStr">
        <is>
          <t>Claude (automated test suite)</t>
        </is>
      </c>
      <c r="M209" s="29" t="inlineStr">
        <is>
          <t>2026-10-15</t>
        </is>
      </c>
      <c r="N209" s="29" t="n"/>
      <c r="O209" s="29" t="inlineStr">
        <is>
          <t>Automated: MerchantReversalTests.MER_02_merchant_split_payments. Note: 'same merchant' configured as count ≥ 3 AND exactly one distinct merchant in the 10-minute window; the merchant limit (350) is not referenced.</t>
        </is>
      </c>
    </row>
    <row r="210" ht="15" customHeight="1" s="16">
      <c r="A210" s="26" t="inlineStr">
        <is>
          <t>TM-MER-02-02</t>
        </is>
      </c>
      <c r="B210" s="26" t="inlineStr">
        <is>
          <t>Merchant</t>
        </is>
      </c>
      <c r="C210" s="26" t="inlineStr">
        <is>
          <t>MER-02</t>
        </is>
      </c>
      <c r="D210" s="26" t="inlineStr">
        <is>
          <t>Merchant split payments</t>
        </is>
      </c>
      <c r="E210" s="26" t="inlineStr">
        <is>
          <t>Negative</t>
        </is>
      </c>
      <c r="F210" s="26" t="inlineStr">
        <is>
          <t>One payment</t>
        </is>
      </c>
      <c r="G210" s="26" t="inlineStr">
        <is>
          <t>No alert</t>
        </is>
      </c>
      <c r="H210" s="26" t="inlineStr">
        <is>
          <t>Medium</t>
        </is>
      </c>
      <c r="I210" s="26" t="inlineStr">
        <is>
          <t>P2</t>
        </is>
      </c>
      <c r="J210" s="28" t="inlineStr">
        <is>
          <t>Pass</t>
        </is>
      </c>
      <c r="K210" s="29" t="inlineStr">
        <is>
          <t>One payment → 0 alerts.</t>
        </is>
      </c>
      <c r="L210" s="29" t="inlineStr">
        <is>
          <t>Claude (automated test suite)</t>
        </is>
      </c>
      <c r="M210" s="29" t="inlineStr">
        <is>
          <t>2026-10-15</t>
        </is>
      </c>
      <c r="N210" s="29" t="n"/>
      <c r="O210" s="29" t="inlineStr">
        <is>
          <t>Automated: MerchantReversalTests.MER_02_merchant_split_payments</t>
        </is>
      </c>
    </row>
    <row r="211" ht="15" customHeight="1" s="16">
      <c r="A211" s="26" t="inlineStr">
        <is>
          <t>TM-MER-03-01</t>
        </is>
      </c>
      <c r="B211" s="26" t="inlineStr">
        <is>
          <t>Merchant</t>
        </is>
      </c>
      <c r="C211" s="26" t="inlineStr">
        <is>
          <t>MER-03</t>
        </is>
      </c>
      <c r="D211" s="26" t="inlineStr">
        <is>
          <t>Merchant transactions with own wallets</t>
        </is>
      </c>
      <c r="E211" s="26" t="inlineStr">
        <is>
          <t>Positive</t>
        </is>
      </c>
      <c r="F211" s="26" t="inlineStr">
        <is>
          <t>Owner's personal wallet pays own shop 4 times</t>
        </is>
      </c>
      <c r="G211" s="26" t="inlineStr">
        <is>
          <t>Alert raised (self-financing / cash-out)</t>
        </is>
      </c>
      <c r="H211" s="26" t="inlineStr">
        <is>
          <t>High</t>
        </is>
      </c>
      <c r="I211" s="26" t="inlineStr">
        <is>
          <t>P1</t>
        </is>
      </c>
      <c r="J211" s="30" t="inlineStr">
        <is>
          <t>Blocked</t>
        </is>
      </c>
      <c r="K211" s="29" t="inlineStr">
        <is>
          <t>Capability gap — Rules cannot read links between payers and the merchant owner. Closest rule definition rejected by the rule validator: $.condition.aggregate: Unknown aggregate 'ownerLinkedPayers'.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11" s="29" t="inlineStr">
        <is>
          <t>Claude (automated test suite)</t>
        </is>
      </c>
      <c r="M211" s="29" t="inlineStr">
        <is>
          <t>2026-10-15</t>
        </is>
      </c>
      <c r="N211" s="29" t="inlineStr">
        <is>
          <t>GAP-MER-03</t>
        </is>
      </c>
      <c r="O211" s="29" t="inlineStr">
        <is>
          <t>Automated: CapabilityGapTests.Scenario_not_configurable (rule validator evidence)</t>
        </is>
      </c>
    </row>
    <row r="212" ht="15" customHeight="1" s="16">
      <c r="A212" s="26" t="inlineStr">
        <is>
          <t>TM-MER-03-02</t>
        </is>
      </c>
      <c r="B212" s="26" t="inlineStr">
        <is>
          <t>Merchant</t>
        </is>
      </c>
      <c r="C212" s="26" t="inlineStr">
        <is>
          <t>MER-03</t>
        </is>
      </c>
      <c r="D212" s="26" t="inlineStr">
        <is>
          <t>Merchant transactions with own wallets</t>
        </is>
      </c>
      <c r="E212" s="26" t="inlineStr">
        <is>
          <t>Negative</t>
        </is>
      </c>
      <c r="F212" s="26" t="inlineStr">
        <is>
          <t>Unrelated payers</t>
        </is>
      </c>
      <c r="G212" s="26" t="inlineStr">
        <is>
          <t>No alert</t>
        </is>
      </c>
      <c r="H212" s="26" t="inlineStr">
        <is>
          <t>High</t>
        </is>
      </c>
      <c r="I212" s="26" t="inlineStr">
        <is>
          <t>P1</t>
        </is>
      </c>
      <c r="J212" s="30" t="inlineStr">
        <is>
          <t>Blocked</t>
        </is>
      </c>
      <c r="K212" s="29" t="inlineStr">
        <is>
          <t>Capability gap — Rules cannot read links between payers and the merchant owner. Closest rule definition rejected by the rule validator: $.condition.aggregate: Unknown aggregate 'ownerLinkedPayers'.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12" s="29" t="inlineStr">
        <is>
          <t>Claude (automated test suite)</t>
        </is>
      </c>
      <c r="M212" s="29" t="inlineStr">
        <is>
          <t>2026-10-15</t>
        </is>
      </c>
      <c r="N212" s="29" t="inlineStr">
        <is>
          <t>GAP-MER-03</t>
        </is>
      </c>
      <c r="O212" s="29" t="inlineStr">
        <is>
          <t>Automated: CapabilityGapTests.Scenario_not_configurable (rule validator evidence)</t>
        </is>
      </c>
    </row>
    <row r="213" ht="22.35" customHeight="1" s="16">
      <c r="A213" s="26" t="inlineStr">
        <is>
          <t>TM-MER-04-01</t>
        </is>
      </c>
      <c r="B213" s="26" t="inlineStr">
        <is>
          <t>Merchant</t>
        </is>
      </c>
      <c r="C213" s="26" t="inlineStr">
        <is>
          <t>MER-04</t>
        </is>
      </c>
      <c r="D213" s="26" t="inlineStr">
        <is>
          <t>Merchant payments with no goods pattern</t>
        </is>
      </c>
      <c r="E213" s="26" t="inlineStr">
        <is>
          <t>Positive</t>
        </is>
      </c>
      <c r="F213" s="26" t="inlineStr">
        <is>
          <t>Merchant receives 3,000 then withdraws 2,900 same day repeatedly</t>
        </is>
      </c>
      <c r="G213" s="26" t="inlineStr">
        <is>
          <t>Alert raised</t>
        </is>
      </c>
      <c r="H213" s="26" t="inlineStr">
        <is>
          <t>Medium</t>
        </is>
      </c>
      <c r="I213" s="26" t="inlineStr">
        <is>
          <t>P2</t>
        </is>
      </c>
      <c r="J213" s="30" t="inlineStr">
        <is>
          <t>Blocked</t>
        </is>
      </c>
      <c r="K213" s="29" t="inlineStr">
        <is>
          <t>Capability gap — No sequence pattern 'payment followed by refund or merchant cash-out ≥ P%' scoped to the same merchant (rapidMovement measures any outflow after any inflow, without refund pairing). Closest rule definition rejected by the rule validator: $.condition.aggregate: Unknown aggregate 'paymentThenRefundShare'.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13" s="29" t="inlineStr">
        <is>
          <t>Claude (automated test suite)</t>
        </is>
      </c>
      <c r="M213" s="29" t="inlineStr">
        <is>
          <t>2026-10-15</t>
        </is>
      </c>
      <c r="N213" s="29" t="inlineStr">
        <is>
          <t>GAP-MER-04</t>
        </is>
      </c>
      <c r="O213" s="29" t="inlineStr">
        <is>
          <t>Automated: CapabilityGapTests.Scenario_not_configurable (rule validator evidence)</t>
        </is>
      </c>
    </row>
    <row r="214" ht="22.35" customHeight="1" s="16">
      <c r="A214" s="26" t="inlineStr">
        <is>
          <t>TM-MER-04-02</t>
        </is>
      </c>
      <c r="B214" s="26" t="inlineStr">
        <is>
          <t>Merchant</t>
        </is>
      </c>
      <c r="C214" s="26" t="inlineStr">
        <is>
          <t>MER-04</t>
        </is>
      </c>
      <c r="D214" s="26" t="inlineStr">
        <is>
          <t>Merchant payments with no goods pattern</t>
        </is>
      </c>
      <c r="E214" s="26" t="inlineStr">
        <is>
          <t>Negative</t>
        </is>
      </c>
      <c r="F214" s="26" t="inlineStr">
        <is>
          <t>Normal settlement schedule</t>
        </is>
      </c>
      <c r="G214" s="26" t="inlineStr">
        <is>
          <t>No alert</t>
        </is>
      </c>
      <c r="H214" s="26" t="inlineStr">
        <is>
          <t>Medium</t>
        </is>
      </c>
      <c r="I214" s="26" t="inlineStr">
        <is>
          <t>P2</t>
        </is>
      </c>
      <c r="J214" s="30" t="inlineStr">
        <is>
          <t>Blocked</t>
        </is>
      </c>
      <c r="K214" s="29" t="inlineStr">
        <is>
          <t>Capability gap — No sequence pattern 'payment followed by refund or merchant cash-out ≥ P%' scoped to the same merchant (rapidMovement measures any outflow after any inflow, without refund pairing). Closest rule definition rejected by the rule validator: $.condition.aggregate: Unknown aggregate 'paymentThenRefundShare'.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14" s="29" t="inlineStr">
        <is>
          <t>Claude (automated test suite)</t>
        </is>
      </c>
      <c r="M214" s="29" t="inlineStr">
        <is>
          <t>2026-10-15</t>
        </is>
      </c>
      <c r="N214" s="29" t="inlineStr">
        <is>
          <t>GAP-MER-04</t>
        </is>
      </c>
      <c r="O214" s="29" t="inlineStr">
        <is>
          <t>Automated: CapabilityGapTests.Scenario_not_configurable (rule validator evidence)</t>
        </is>
      </c>
    </row>
    <row r="215" ht="15" customHeight="1" s="16">
      <c r="A215" s="26" t="inlineStr">
        <is>
          <t>TM-MER-05-01</t>
        </is>
      </c>
      <c r="B215" s="26" t="inlineStr">
        <is>
          <t>Merchant</t>
        </is>
      </c>
      <c r="C215" s="26" t="inlineStr">
        <is>
          <t>MER-05</t>
        </is>
      </c>
      <c r="D215" s="26" t="inlineStr">
        <is>
          <t>Merchant transactions outside location</t>
        </is>
      </c>
      <c r="E215" s="26" t="inlineStr">
        <is>
          <t>Positive</t>
        </is>
      </c>
      <c r="F215" s="26" t="inlineStr">
        <is>
          <t>Registered Amman merchant POS used in Zarqa repeatedly</t>
        </is>
      </c>
      <c r="G215" s="26" t="inlineStr">
        <is>
          <t>Alert raised</t>
        </is>
      </c>
      <c r="H215" s="26" t="inlineStr">
        <is>
          <t>Low</t>
        </is>
      </c>
      <c r="I215" s="26" t="inlineStr">
        <is>
          <t>P3</t>
        </is>
      </c>
      <c r="J215" s="30" t="inlineStr">
        <is>
          <t>Blocked</t>
        </is>
      </c>
      <c r="K215" s="29" t="inlineStr">
        <is>
          <t>Capability gap — POS geolocation and merchant registered area are not modelled. Closest rule definition rejected by the rule validator: $.condition.aggregate: Unknown aggregate 'posDistanceKm'.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15" s="29" t="inlineStr">
        <is>
          <t>Claude (automated test suite)</t>
        </is>
      </c>
      <c r="M215" s="29" t="inlineStr">
        <is>
          <t>2026-10-15</t>
        </is>
      </c>
      <c r="N215" s="29" t="inlineStr">
        <is>
          <t>GAP-MER-05</t>
        </is>
      </c>
      <c r="O215" s="29" t="inlineStr">
        <is>
          <t>Automated: CapabilityGapTests.Scenario_not_configurable (rule validator evidence)</t>
        </is>
      </c>
    </row>
    <row r="216" ht="15" customHeight="1" s="16">
      <c r="A216" s="26" t="inlineStr">
        <is>
          <t>TM-MER-05-02</t>
        </is>
      </c>
      <c r="B216" s="26" t="inlineStr">
        <is>
          <t>Merchant</t>
        </is>
      </c>
      <c r="C216" s="26" t="inlineStr">
        <is>
          <t>MER-05</t>
        </is>
      </c>
      <c r="D216" s="26" t="inlineStr">
        <is>
          <t>Merchant transactions outside location</t>
        </is>
      </c>
      <c r="E216" s="26" t="inlineStr">
        <is>
          <t>Negative</t>
        </is>
      </c>
      <c r="F216" s="26" t="inlineStr">
        <is>
          <t>Mobile merchant with approved flag</t>
        </is>
      </c>
      <c r="G216" s="26" t="inlineStr">
        <is>
          <t>No alert</t>
        </is>
      </c>
      <c r="H216" s="26" t="inlineStr">
        <is>
          <t>Low</t>
        </is>
      </c>
      <c r="I216" s="26" t="inlineStr">
        <is>
          <t>P3</t>
        </is>
      </c>
      <c r="J216" s="30" t="inlineStr">
        <is>
          <t>Blocked</t>
        </is>
      </c>
      <c r="K216" s="29" t="inlineStr">
        <is>
          <t>Capability gap — POS geolocation and merchant registered area are not modelled. Closest rule definition rejected by the rule validator: $.condition.aggregate: Unknown aggregate 'posDistanceKm'.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16" s="29" t="inlineStr">
        <is>
          <t>Claude (automated test suite)</t>
        </is>
      </c>
      <c r="M216" s="29" t="inlineStr">
        <is>
          <t>2026-10-15</t>
        </is>
      </c>
      <c r="N216" s="29" t="inlineStr">
        <is>
          <t>GAP-MER-05</t>
        </is>
      </c>
      <c r="O216" s="29" t="inlineStr">
        <is>
          <t>Automated: CapabilityGapTests.Scenario_not_configurable (rule validator evidence)</t>
        </is>
      </c>
    </row>
    <row r="217" ht="22.35" customHeight="1" s="16">
      <c r="A217" s="26" t="inlineStr">
        <is>
          <t>TM-REV-01-01</t>
        </is>
      </c>
      <c r="B217" s="26" t="inlineStr">
        <is>
          <t>Reversals, Refunds &amp; Failed Attempts</t>
        </is>
      </c>
      <c r="C217" s="26" t="inlineStr">
        <is>
          <t>REV-01</t>
        </is>
      </c>
      <c r="D217" s="26" t="inlineStr">
        <is>
          <t>High reversal/refund rate</t>
        </is>
      </c>
      <c r="E217" s="26" t="inlineStr">
        <is>
          <t>Positive</t>
        </is>
      </c>
      <c r="F217" s="26" t="inlineStr">
        <is>
          <t>25 transactions, 7 reversed</t>
        </is>
      </c>
      <c r="G217" s="26" t="inlineStr">
        <is>
          <t>Alert raised</t>
        </is>
      </c>
      <c r="H217" s="26" t="inlineStr">
        <is>
          <t>Medium</t>
        </is>
      </c>
      <c r="I217" s="26" t="inlineStr">
        <is>
          <t>P1</t>
        </is>
      </c>
      <c r="J217" s="28" t="inlineStr">
        <is>
          <t>Pass</t>
        </is>
      </c>
      <c r="K217" s="29" t="inlineStr">
        <is>
          <t>25 transactions, 7 reversed (28%) → 1 alert.</t>
        </is>
      </c>
      <c r="L217" s="29" t="inlineStr">
        <is>
          <t>Claude (automated test suite)</t>
        </is>
      </c>
      <c r="M217" s="29" t="inlineStr">
        <is>
          <t>2026-10-15</t>
        </is>
      </c>
      <c r="N217" s="29" t="n"/>
      <c r="O217" s="29" t="inlineStr">
        <is>
          <t>Automated: MerchantReversalTests.REV_01_high_reversal_rate</t>
        </is>
      </c>
    </row>
    <row r="218" ht="22.35" customHeight="1" s="16">
      <c r="A218" s="26" t="inlineStr">
        <is>
          <t>TM-REV-01-02</t>
        </is>
      </c>
      <c r="B218" s="26" t="inlineStr">
        <is>
          <t>Reversals, Refunds &amp; Failed Attempts</t>
        </is>
      </c>
      <c r="C218" s="26" t="inlineStr">
        <is>
          <t>REV-01</t>
        </is>
      </c>
      <c r="D218" s="26" t="inlineStr">
        <is>
          <t>High reversal/refund rate</t>
        </is>
      </c>
      <c r="E218" s="26" t="inlineStr">
        <is>
          <t>Boundary</t>
        </is>
      </c>
      <c r="F218" s="26" t="inlineStr">
        <is>
          <t>4 reversals</t>
        </is>
      </c>
      <c r="G218" s="26" t="inlineStr">
        <is>
          <t>No alert (count)</t>
        </is>
      </c>
      <c r="H218" s="26" t="inlineStr">
        <is>
          <t>Medium</t>
        </is>
      </c>
      <c r="I218" s="26" t="inlineStr">
        <is>
          <t>P1</t>
        </is>
      </c>
      <c r="J218" s="28" t="inlineStr">
        <is>
          <t>Pass</t>
        </is>
      </c>
      <c r="K218" s="29" t="inlineStr">
        <is>
          <t>4 reversals of 15 (26.7%, count below 5) → 0 alerts.</t>
        </is>
      </c>
      <c r="L218" s="29" t="inlineStr">
        <is>
          <t>Claude (automated test suite)</t>
        </is>
      </c>
      <c r="M218" s="29" t="inlineStr">
        <is>
          <t>2026-10-15</t>
        </is>
      </c>
      <c r="N218" s="29" t="n"/>
      <c r="O218" s="29" t="inlineStr">
        <is>
          <t>Automated: MerchantReversalTests.REV_01_high_reversal_rate</t>
        </is>
      </c>
    </row>
    <row r="219" ht="22.35" customHeight="1" s="16">
      <c r="A219" s="26" t="inlineStr">
        <is>
          <t>TM-REV-01-03</t>
        </is>
      </c>
      <c r="B219" s="26" t="inlineStr">
        <is>
          <t>Reversals, Refunds &amp; Failed Attempts</t>
        </is>
      </c>
      <c r="C219" s="26" t="inlineStr">
        <is>
          <t>REV-01</t>
        </is>
      </c>
      <c r="D219" s="26" t="inlineStr">
        <is>
          <t>High reversal/refund rate</t>
        </is>
      </c>
      <c r="E219" s="26" t="inlineStr">
        <is>
          <t>Negative</t>
        </is>
      </c>
      <c r="F219" s="26" t="inlineStr">
        <is>
          <t>1 reversal out of 25</t>
        </is>
      </c>
      <c r="G219" s="26" t="inlineStr">
        <is>
          <t>No alert</t>
        </is>
      </c>
      <c r="H219" s="26" t="inlineStr">
        <is>
          <t>Medium</t>
        </is>
      </c>
      <c r="I219" s="26" t="inlineStr">
        <is>
          <t>P1</t>
        </is>
      </c>
      <c r="J219" s="28" t="inlineStr">
        <is>
          <t>Pass</t>
        </is>
      </c>
      <c r="K219" s="29" t="inlineStr">
        <is>
          <t>1 reversal of 25 → 0 alerts.</t>
        </is>
      </c>
      <c r="L219" s="29" t="inlineStr">
        <is>
          <t>Claude (automated test suite)</t>
        </is>
      </c>
      <c r="M219" s="29" t="inlineStr">
        <is>
          <t>2026-10-15</t>
        </is>
      </c>
      <c r="N219" s="29" t="n"/>
      <c r="O219" s="29" t="inlineStr">
        <is>
          <t>Automated: MerchantReversalTests.REV_01_high_reversal_rate</t>
        </is>
      </c>
    </row>
    <row r="220" ht="22.35" customHeight="1" s="16">
      <c r="A220" s="26" t="inlineStr">
        <is>
          <t>TM-REV-02-01</t>
        </is>
      </c>
      <c r="B220" s="26" t="inlineStr">
        <is>
          <t>Reversals, Refunds &amp; Failed Attempts</t>
        </is>
      </c>
      <c r="C220" s="26" t="inlineStr">
        <is>
          <t>REV-02</t>
        </is>
      </c>
      <c r="D220" s="26" t="inlineStr">
        <is>
          <t>Refund to different instrument</t>
        </is>
      </c>
      <c r="E220" s="26" t="inlineStr">
        <is>
          <t>Positive</t>
        </is>
      </c>
      <c r="F220" s="26" t="inlineStr">
        <is>
          <t>Paid by card A; refund to wallet B</t>
        </is>
      </c>
      <c r="G220" s="26" t="inlineStr">
        <is>
          <t>Alert raised</t>
        </is>
      </c>
      <c r="H220" s="26" t="inlineStr">
        <is>
          <t>High</t>
        </is>
      </c>
      <c r="I220" s="26" t="inlineStr">
        <is>
          <t>P2</t>
        </is>
      </c>
      <c r="J220" s="30" t="inlineStr">
        <is>
          <t>Blocked</t>
        </is>
      </c>
      <c r="K220" s="29" t="inlineStr">
        <is>
          <t>Capability gap — Refund destination instrument vs original payment instrument is not captured. Closest rule definition rejected by the rule validator: $.condition.field: Unknown field 'txn.refundInstrumentMismatch': not present in the data-source registry..</t>
        </is>
      </c>
      <c r="L220" s="29" t="inlineStr">
        <is>
          <t>Claude (automated test suite)</t>
        </is>
      </c>
      <c r="M220" s="29" t="inlineStr">
        <is>
          <t>2026-10-15</t>
        </is>
      </c>
      <c r="N220" s="29" t="inlineStr">
        <is>
          <t>GAP-REV-02</t>
        </is>
      </c>
      <c r="O220" s="29" t="inlineStr">
        <is>
          <t>Automated: Scenario_not_configurable (rule validator evidence)</t>
        </is>
      </c>
    </row>
    <row r="221" ht="22.35" customHeight="1" s="16">
      <c r="A221" s="26" t="inlineStr">
        <is>
          <t>TM-REV-02-02</t>
        </is>
      </c>
      <c r="B221" s="26" t="inlineStr">
        <is>
          <t>Reversals, Refunds &amp; Failed Attempts</t>
        </is>
      </c>
      <c r="C221" s="26" t="inlineStr">
        <is>
          <t>REV-02</t>
        </is>
      </c>
      <c r="D221" s="26" t="inlineStr">
        <is>
          <t>Refund to different instrument</t>
        </is>
      </c>
      <c r="E221" s="26" t="inlineStr">
        <is>
          <t>Negative</t>
        </is>
      </c>
      <c r="F221" s="26" t="inlineStr">
        <is>
          <t>Refund to same instrument</t>
        </is>
      </c>
      <c r="G221" s="26" t="inlineStr">
        <is>
          <t>No alert</t>
        </is>
      </c>
      <c r="H221" s="26" t="inlineStr">
        <is>
          <t>High</t>
        </is>
      </c>
      <c r="I221" s="26" t="inlineStr">
        <is>
          <t>P2</t>
        </is>
      </c>
      <c r="J221" s="30" t="inlineStr">
        <is>
          <t>Blocked</t>
        </is>
      </c>
      <c r="K221" s="29" t="inlineStr">
        <is>
          <t>Capability gap — Refund destination instrument vs original payment instrument is not captured. Closest rule definition rejected by the rule validator: $.condition.field: Unknown field 'txn.refundInstrumentMismatch': not present in the data-source registry..</t>
        </is>
      </c>
      <c r="L221" s="29" t="inlineStr">
        <is>
          <t>Claude (automated test suite)</t>
        </is>
      </c>
      <c r="M221" s="29" t="inlineStr">
        <is>
          <t>2026-10-15</t>
        </is>
      </c>
      <c r="N221" s="29" t="inlineStr">
        <is>
          <t>GAP-REV-02</t>
        </is>
      </c>
      <c r="O221" s="29" t="inlineStr">
        <is>
          <t>Automated: Scenario_not_configurable (rule validator evidence)</t>
        </is>
      </c>
    </row>
    <row r="222" ht="22.35" customHeight="1" s="16">
      <c r="A222" s="26" t="inlineStr">
        <is>
          <t>TM-REV-03-01</t>
        </is>
      </c>
      <c r="B222" s="26" t="inlineStr">
        <is>
          <t>Reversals, Refunds &amp; Failed Attempts</t>
        </is>
      </c>
      <c r="C222" s="26" t="inlineStr">
        <is>
          <t>REV-03</t>
        </is>
      </c>
      <c r="D222" s="26" t="inlineStr">
        <is>
          <t>Many failed attempts then success (limit probing)</t>
        </is>
      </c>
      <c r="E222" s="26" t="inlineStr">
        <is>
          <t>Positive</t>
        </is>
      </c>
      <c r="F222" s="26" t="inlineStr">
        <is>
          <t>Attempts 5,000 (fail), 4,000 (fail), 3,000 (fail), 2,000 (success)</t>
        </is>
      </c>
      <c r="G222" s="26" t="inlineStr">
        <is>
          <t>Alert raised as limit probing</t>
        </is>
      </c>
      <c r="H222" s="26" t="inlineStr">
        <is>
          <t>Medium</t>
        </is>
      </c>
      <c r="I222" s="26" t="inlineStr">
        <is>
          <t>P1</t>
        </is>
      </c>
      <c r="J222" s="30" t="inlineStr">
        <is>
          <t>Blocked</t>
        </is>
      </c>
      <c r="K222" s="29" t="inlineStr">
        <is>
          <t>Capability gap — No sequence pattern of failed attempts with decreasing amounts followed by a success. Closest rule definition rejected by the rule validator: $.condition.aggregate: Unknown aggregate 'failedDecreasingThenSuccess'.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22" s="29" t="inlineStr">
        <is>
          <t>Claude (automated test suite)</t>
        </is>
      </c>
      <c r="M222" s="29" t="inlineStr">
        <is>
          <t>2026-10-15</t>
        </is>
      </c>
      <c r="N222" s="29" t="inlineStr">
        <is>
          <t>GAP-REV-03</t>
        </is>
      </c>
      <c r="O222" s="29" t="inlineStr">
        <is>
          <t>Automated: CapabilityGapTests.Scenario_not_configurable (rule validator evidence)</t>
        </is>
      </c>
    </row>
    <row r="223" ht="22.35" customHeight="1" s="16">
      <c r="A223" s="26" t="inlineStr">
        <is>
          <t>TM-REV-03-02</t>
        </is>
      </c>
      <c r="B223" s="26" t="inlineStr">
        <is>
          <t>Reversals, Refunds &amp; Failed Attempts</t>
        </is>
      </c>
      <c r="C223" s="26" t="inlineStr">
        <is>
          <t>REV-03</t>
        </is>
      </c>
      <c r="D223" s="26" t="inlineStr">
        <is>
          <t>Many failed attempts then success (limit probing)</t>
        </is>
      </c>
      <c r="E223" s="26" t="inlineStr">
        <is>
          <t>Negative</t>
        </is>
      </c>
      <c r="F223" s="26" t="inlineStr">
        <is>
          <t>One failed attempt due to insufficient balance</t>
        </is>
      </c>
      <c r="G223" s="26" t="inlineStr">
        <is>
          <t>No alert</t>
        </is>
      </c>
      <c r="H223" s="26" t="inlineStr">
        <is>
          <t>Medium</t>
        </is>
      </c>
      <c r="I223" s="26" t="inlineStr">
        <is>
          <t>P1</t>
        </is>
      </c>
      <c r="J223" s="30" t="inlineStr">
        <is>
          <t>Blocked</t>
        </is>
      </c>
      <c r="K223" s="29" t="inlineStr">
        <is>
          <t>Capability gap — No sequence pattern of failed attempts with decreasing amounts followed by a success. Closest rule definition rejected by the rule validator: $.condition.aggregate: Unknown aggregate 'failedDecreasingThenSuccess'.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23" s="29" t="inlineStr">
        <is>
          <t>Claude (automated test suite)</t>
        </is>
      </c>
      <c r="M223" s="29" t="inlineStr">
        <is>
          <t>2026-10-15</t>
        </is>
      </c>
      <c r="N223" s="29" t="inlineStr">
        <is>
          <t>GAP-REV-03</t>
        </is>
      </c>
      <c r="O223" s="29" t="inlineStr">
        <is>
          <t>Automated: CapabilityGapTests.Scenario_not_configurable (rule validator evidence)</t>
        </is>
      </c>
    </row>
    <row r="224" ht="22.35" customHeight="1" s="16">
      <c r="A224" s="26" t="inlineStr">
        <is>
          <t>TM-REV-04-01</t>
        </is>
      </c>
      <c r="B224" s="26" t="inlineStr">
        <is>
          <t>Reversals, Refunds &amp; Failed Attempts</t>
        </is>
      </c>
      <c r="C224" s="26" t="inlineStr">
        <is>
          <t>REV-04</t>
        </is>
      </c>
      <c r="D224" s="26" t="inlineStr">
        <is>
          <t>Many failed transactions</t>
        </is>
      </c>
      <c r="E224" s="26" t="inlineStr">
        <is>
          <t>Positive</t>
        </is>
      </c>
      <c r="F224" s="26" t="inlineStr">
        <is>
          <t>12 failed transfers in one day</t>
        </is>
      </c>
      <c r="G224" s="26" t="inlineStr">
        <is>
          <t>Alert raised</t>
        </is>
      </c>
      <c r="H224" s="26" t="inlineStr">
        <is>
          <t>Low</t>
        </is>
      </c>
      <c r="I224" s="26" t="inlineStr">
        <is>
          <t>P2</t>
        </is>
      </c>
      <c r="J224" s="28" t="inlineStr">
        <is>
          <t>Pass</t>
        </is>
      </c>
      <c r="K224" s="29" t="inlineStr">
        <is>
          <t>12 failed transfers in one day (rule counts status Failed) → 1 alert.</t>
        </is>
      </c>
      <c r="L224" s="29" t="inlineStr">
        <is>
          <t>Claude (automated test suite)</t>
        </is>
      </c>
      <c r="M224" s="29" t="inlineStr">
        <is>
          <t>2026-10-15</t>
        </is>
      </c>
      <c r="N224" s="29" t="n"/>
      <c r="O224" s="29" t="inlineStr">
        <is>
          <t>Automated: MerchantReversalTests.REV_04_many_failed_transactions</t>
        </is>
      </c>
    </row>
    <row r="225" ht="22.35" customHeight="1" s="16">
      <c r="A225" s="26" t="inlineStr">
        <is>
          <t>TM-REV-04-02</t>
        </is>
      </c>
      <c r="B225" s="26" t="inlineStr">
        <is>
          <t>Reversals, Refunds &amp; Failed Attempts</t>
        </is>
      </c>
      <c r="C225" s="26" t="inlineStr">
        <is>
          <t>REV-04</t>
        </is>
      </c>
      <c r="D225" s="26" t="inlineStr">
        <is>
          <t>Many failed transactions</t>
        </is>
      </c>
      <c r="E225" s="26" t="inlineStr">
        <is>
          <t>Negative</t>
        </is>
      </c>
      <c r="F225" s="26" t="inlineStr">
        <is>
          <t>3 failures</t>
        </is>
      </c>
      <c r="G225" s="26" t="inlineStr">
        <is>
          <t>No alert</t>
        </is>
      </c>
      <c r="H225" s="26" t="inlineStr">
        <is>
          <t>Low</t>
        </is>
      </c>
      <c r="I225" s="26" t="inlineStr">
        <is>
          <t>P2</t>
        </is>
      </c>
      <c r="J225" s="28" t="inlineStr">
        <is>
          <t>Pass</t>
        </is>
      </c>
      <c r="K225" s="29" t="inlineStr">
        <is>
          <t>3 failures → 0 alerts.</t>
        </is>
      </c>
      <c r="L225" s="29" t="inlineStr">
        <is>
          <t>Claude (automated test suite)</t>
        </is>
      </c>
      <c r="M225" s="29" t="inlineStr">
        <is>
          <t>2026-10-15</t>
        </is>
      </c>
      <c r="N225" s="29" t="n"/>
      <c r="O225" s="29" t="inlineStr">
        <is>
          <t>Automated: MerchantReversalTests.REV_04_many_failed_transactions</t>
        </is>
      </c>
    </row>
    <row r="226" ht="22.35" customHeight="1" s="16">
      <c r="A226" s="26" t="inlineStr">
        <is>
          <t>TM-REV-05-01</t>
        </is>
      </c>
      <c r="B226" s="26" t="inlineStr">
        <is>
          <t>Reversals, Refunds &amp; Failed Attempts</t>
        </is>
      </c>
      <c r="C226" s="26" t="inlineStr">
        <is>
          <t>REV-05</t>
        </is>
      </c>
      <c r="D226" s="26" t="inlineStr">
        <is>
          <t>Overpayment and refund request</t>
        </is>
      </c>
      <c r="E226" s="26" t="inlineStr">
        <is>
          <t>Positive</t>
        </is>
      </c>
      <c r="F226" s="26" t="inlineStr">
        <is>
          <t>Bill 100 paid 1,100; refund of 1,000 requested to another wallet</t>
        </is>
      </c>
      <c r="G226" s="26" t="inlineStr">
        <is>
          <t>Alert raised</t>
        </is>
      </c>
      <c r="H226" s="26" t="inlineStr">
        <is>
          <t>Medium</t>
        </is>
      </c>
      <c r="I226" s="26" t="inlineStr">
        <is>
          <t>P3</t>
        </is>
      </c>
      <c r="J226" s="30" t="inlineStr">
        <is>
          <t>Blocked</t>
        </is>
      </c>
      <c r="K226" s="29" t="inlineStr">
        <is>
          <t>Capability gap — Invoice amounts and refund-to-third-party linkage are not captured. Closest rule definition rejected by the rule validator: $.condition.field: Unknown field 'txn.invoiceAmount': not present in the data-source registry..</t>
        </is>
      </c>
      <c r="L226" s="29" t="inlineStr">
        <is>
          <t>Claude (automated test suite)</t>
        </is>
      </c>
      <c r="M226" s="29" t="inlineStr">
        <is>
          <t>2026-10-15</t>
        </is>
      </c>
      <c r="N226" s="29" t="inlineStr">
        <is>
          <t>GAP-REV-05</t>
        </is>
      </c>
      <c r="O226" s="29" t="inlineStr">
        <is>
          <t>Automated: Scenario_not_configurable (rule validator evidence)</t>
        </is>
      </c>
    </row>
    <row r="227" ht="22.35" customHeight="1" s="16">
      <c r="A227" s="26" t="inlineStr">
        <is>
          <t>TM-REV-05-02</t>
        </is>
      </c>
      <c r="B227" s="26" t="inlineStr">
        <is>
          <t>Reversals, Refunds &amp; Failed Attempts</t>
        </is>
      </c>
      <c r="C227" s="26" t="inlineStr">
        <is>
          <t>REV-05</t>
        </is>
      </c>
      <c r="D227" s="26" t="inlineStr">
        <is>
          <t>Overpayment and refund request</t>
        </is>
      </c>
      <c r="E227" s="26" t="inlineStr">
        <is>
          <t>Negative</t>
        </is>
      </c>
      <c r="F227" s="26" t="inlineStr">
        <is>
          <t>Exact payment</t>
        </is>
      </c>
      <c r="G227" s="26" t="inlineStr">
        <is>
          <t>No alert</t>
        </is>
      </c>
      <c r="H227" s="26" t="inlineStr">
        <is>
          <t>Medium</t>
        </is>
      </c>
      <c r="I227" s="26" t="inlineStr">
        <is>
          <t>P3</t>
        </is>
      </c>
      <c r="J227" s="30" t="inlineStr">
        <is>
          <t>Blocked</t>
        </is>
      </c>
      <c r="K227" s="29" t="inlineStr">
        <is>
          <t>Capability gap — Invoice amounts and refund-to-third-party linkage are not captured. Closest rule definition rejected by the rule validator: $.condition.field: Unknown field 'txn.invoiceAmount': not present in the data-source registry..</t>
        </is>
      </c>
      <c r="L227" s="29" t="inlineStr">
        <is>
          <t>Claude (automated test suite)</t>
        </is>
      </c>
      <c r="M227" s="29" t="inlineStr">
        <is>
          <t>2026-10-15</t>
        </is>
      </c>
      <c r="N227" s="29" t="inlineStr">
        <is>
          <t>GAP-REV-05</t>
        </is>
      </c>
      <c r="O227" s="29" t="inlineStr">
        <is>
          <t>Automated: Scenario_not_configurable (rule validator evidence)</t>
        </is>
      </c>
    </row>
    <row r="228" ht="15" customHeight="1" s="16">
      <c r="A228" s="26" t="inlineStr">
        <is>
          <t>TM-CIR-01-01</t>
        </is>
      </c>
      <c r="B228" s="26" t="inlineStr">
        <is>
          <t>Circular &amp; Related-party</t>
        </is>
      </c>
      <c r="C228" s="26" t="inlineStr">
        <is>
          <t>CIR-01</t>
        </is>
      </c>
      <c r="D228" s="26" t="inlineStr">
        <is>
          <t>Round-tripping (A→B→A)</t>
        </is>
      </c>
      <c r="E228" s="26" t="inlineStr">
        <is>
          <t>Positive</t>
        </is>
      </c>
      <c r="F228" s="26" t="inlineStr">
        <is>
          <t>A→B 1,000; B→C 950; C→A 900 within 3 days</t>
        </is>
      </c>
      <c r="G228" s="26" t="inlineStr">
        <is>
          <t>Alert raised; cycle in evidence</t>
        </is>
      </c>
      <c r="H228" s="26" t="inlineStr">
        <is>
          <t>High</t>
        </is>
      </c>
      <c r="I228" s="26" t="inlineStr">
        <is>
          <t>P1</t>
        </is>
      </c>
      <c r="J228" s="28" t="inlineStr">
        <is>
          <t>Pass</t>
        </is>
      </c>
      <c r="K228" s="29" t="inlineStr">
        <is>
          <t>A→B 1,000; B→C 950; C→A 900 within 3 days → 1 alert on A with the cycle path in evidence.</t>
        </is>
      </c>
      <c r="L228" s="29" t="inlineStr">
        <is>
          <t>Claude (automated test suite)</t>
        </is>
      </c>
      <c r="M228" s="29" t="inlineStr">
        <is>
          <t>2026-10-15</t>
        </is>
      </c>
      <c r="N228" s="29" t="n"/>
      <c r="O228" s="29" t="inlineStr">
        <is>
          <t>Automated: NetworkMuleTests.CIR_01_round_tripping. Note: the 80% return-amount condition is not configurable for cycle detection.</t>
        </is>
      </c>
    </row>
    <row r="229" ht="15" customHeight="1" s="16">
      <c r="A229" s="26" t="inlineStr">
        <is>
          <t>TM-CIR-01-02</t>
        </is>
      </c>
      <c r="B229" s="26" t="inlineStr">
        <is>
          <t>Circular &amp; Related-party</t>
        </is>
      </c>
      <c r="C229" s="26" t="inlineStr">
        <is>
          <t>CIR-01</t>
        </is>
      </c>
      <c r="D229" s="26" t="inlineStr">
        <is>
          <t>Round-tripping (A→B→A)</t>
        </is>
      </c>
      <c r="E229" s="26" t="inlineStr">
        <is>
          <t>Negative</t>
        </is>
      </c>
      <c r="F229" s="26" t="inlineStr">
        <is>
          <t>A→B, B→C only</t>
        </is>
      </c>
      <c r="G229" s="26" t="inlineStr">
        <is>
          <t>No alert</t>
        </is>
      </c>
      <c r="H229" s="26" t="inlineStr">
        <is>
          <t>High</t>
        </is>
      </c>
      <c r="I229" s="26" t="inlineStr">
        <is>
          <t>P1</t>
        </is>
      </c>
      <c r="J229" s="28" t="inlineStr">
        <is>
          <t>Pass</t>
        </is>
      </c>
      <c r="K229" s="29" t="inlineStr">
        <is>
          <t>A→B, B→C only → 0 alerts.</t>
        </is>
      </c>
      <c r="L229" s="29" t="inlineStr">
        <is>
          <t>Claude (automated test suite)</t>
        </is>
      </c>
      <c r="M229" s="29" t="inlineStr">
        <is>
          <t>2026-10-15</t>
        </is>
      </c>
      <c r="N229" s="29" t="n"/>
      <c r="O229" s="29" t="inlineStr">
        <is>
          <t>Automated: NetworkMuleTests.CIR_01_round_tripping</t>
        </is>
      </c>
    </row>
    <row r="230" ht="15" customHeight="1" s="16">
      <c r="A230" s="26" t="inlineStr">
        <is>
          <t>TM-CIR-01-03</t>
        </is>
      </c>
      <c r="B230" s="26" t="inlineStr">
        <is>
          <t>Circular &amp; Related-party</t>
        </is>
      </c>
      <c r="C230" s="26" t="inlineStr">
        <is>
          <t>CIR-01</t>
        </is>
      </c>
      <c r="D230" s="26" t="inlineStr">
        <is>
          <t>Round-tripping (A→B→A)</t>
        </is>
      </c>
      <c r="E230" s="26" t="inlineStr">
        <is>
          <t>Boundary</t>
        </is>
      </c>
      <c r="F230" s="26" t="inlineStr">
        <is>
          <t>Return after 8 days</t>
        </is>
      </c>
      <c r="G230" s="26" t="inlineStr">
        <is>
          <t>No alert</t>
        </is>
      </c>
      <c r="H230" s="26" t="inlineStr">
        <is>
          <t>High</t>
        </is>
      </c>
      <c r="I230" s="26" t="inlineStr">
        <is>
          <t>P1</t>
        </is>
      </c>
      <c r="J230" s="28" t="inlineStr">
        <is>
          <t>Pass</t>
        </is>
      </c>
      <c r="K230" s="29" t="inlineStr">
        <is>
          <t>Funds return to A after 8 days → 0 alerts for A.</t>
        </is>
      </c>
      <c r="L230" s="29" t="inlineStr">
        <is>
          <t>Claude (automated test suite)</t>
        </is>
      </c>
      <c r="M230" s="29" t="inlineStr">
        <is>
          <t>2026-10-15</t>
        </is>
      </c>
      <c r="N230" s="29" t="n"/>
      <c r="O230" s="29" t="inlineStr">
        <is>
          <t>Automated: NetworkMuleTests.CIR_01_round_tripping</t>
        </is>
      </c>
    </row>
    <row r="231" ht="22.35" customHeight="1" s="16">
      <c r="A231" s="26" t="inlineStr">
        <is>
          <t>TM-CIR-02-01</t>
        </is>
      </c>
      <c r="B231" s="26" t="inlineStr">
        <is>
          <t>Circular &amp; Related-party</t>
        </is>
      </c>
      <c r="C231" s="26" t="inlineStr">
        <is>
          <t>CIR-02</t>
        </is>
      </c>
      <c r="D231" s="26" t="inlineStr">
        <is>
          <t>Reciprocal transfers between two parties</t>
        </is>
      </c>
      <c r="E231" s="26" t="inlineStr">
        <is>
          <t>Positive</t>
        </is>
      </c>
      <c r="F231" s="26" t="inlineStr">
        <is>
          <t>A and B exchange 3 transfers each way within 5 days</t>
        </is>
      </c>
      <c r="G231" s="26" t="inlineStr">
        <is>
          <t>Alert raised</t>
        </is>
      </c>
      <c r="H231" s="26" t="inlineStr">
        <is>
          <t>Medium</t>
        </is>
      </c>
      <c r="I231" s="26" t="inlineStr">
        <is>
          <t>P2</t>
        </is>
      </c>
      <c r="J231" s="28" t="inlineStr">
        <is>
          <t>Pass</t>
        </is>
      </c>
      <c r="K231" s="29" t="inlineStr">
        <is>
          <t>A and B exchange 3 transfers each way within 5 days → 1 alert (reciprocalCount 6).</t>
        </is>
      </c>
      <c r="L231" s="29" t="inlineStr">
        <is>
          <t>Claude (automated test suite)</t>
        </is>
      </c>
      <c r="M231" s="29" t="inlineStr">
        <is>
          <t>2026-10-15</t>
        </is>
      </c>
      <c r="N231" s="29" t="n"/>
      <c r="O231" s="29" t="inlineStr">
        <is>
          <t>Automated: ExtendedCapabilityTests.CSH_03_CIR_02_03_MUL_02_04. Blocked in the first execution (capability gap); executable after the rule DSL extension.</t>
        </is>
      </c>
    </row>
    <row r="232" ht="22.35" customHeight="1" s="16">
      <c r="A232" s="26" t="inlineStr">
        <is>
          <t>TM-CIR-02-02</t>
        </is>
      </c>
      <c r="B232" s="26" t="inlineStr">
        <is>
          <t>Circular &amp; Related-party</t>
        </is>
      </c>
      <c r="C232" s="26" t="inlineStr">
        <is>
          <t>CIR-02</t>
        </is>
      </c>
      <c r="D232" s="26" t="inlineStr">
        <is>
          <t>Reciprocal transfers between two parties</t>
        </is>
      </c>
      <c r="E232" s="26" t="inlineStr">
        <is>
          <t>Negative</t>
        </is>
      </c>
      <c r="F232" s="26" t="inlineStr">
        <is>
          <t>One-way family support</t>
        </is>
      </c>
      <c r="G232" s="26" t="inlineStr">
        <is>
          <t>No alert</t>
        </is>
      </c>
      <c r="H232" s="26" t="inlineStr">
        <is>
          <t>Medium</t>
        </is>
      </c>
      <c r="I232" s="26" t="inlineStr">
        <is>
          <t>P2</t>
        </is>
      </c>
      <c r="J232" s="28" t="inlineStr">
        <is>
          <t>Pass</t>
        </is>
      </c>
      <c r="K232" s="29" t="inlineStr">
        <is>
          <t>One-way family support → 0 alerts.</t>
        </is>
      </c>
      <c r="L232" s="29" t="inlineStr">
        <is>
          <t>Claude (automated test suite)</t>
        </is>
      </c>
      <c r="M232" s="29" t="inlineStr">
        <is>
          <t>2026-10-15</t>
        </is>
      </c>
      <c r="N232" s="29" t="n"/>
      <c r="O232" s="29" t="inlineStr">
        <is>
          <t>Automated: ExtendedCapabilityTests.CSH_03_CIR_02_03_MUL_02_04. Blocked in the first execution (capability gap); executable after the rule DSL extension.</t>
        </is>
      </c>
    </row>
    <row r="233" ht="15" customHeight="1" s="16">
      <c r="A233" s="26" t="inlineStr">
        <is>
          <t>TM-CIR-03-01</t>
        </is>
      </c>
      <c r="B233" s="26" t="inlineStr">
        <is>
          <t>Circular &amp; Related-party</t>
        </is>
      </c>
      <c r="C233" s="26" t="inlineStr">
        <is>
          <t>CIR-03</t>
        </is>
      </c>
      <c r="D233" s="26" t="inlineStr">
        <is>
          <t>Transfers between linked customers</t>
        </is>
      </c>
      <c r="E233" s="26" t="inlineStr">
        <is>
          <t>Positive</t>
        </is>
      </c>
      <c r="F233" s="26" t="inlineStr">
        <is>
          <t>Two wallets sharing ID token exchange 4,000</t>
        </is>
      </c>
      <c r="G233" s="26" t="inlineStr">
        <is>
          <t>Alert raised (hidden self-transfer)</t>
        </is>
      </c>
      <c r="H233" s="26" t="inlineStr">
        <is>
          <t>Medium</t>
        </is>
      </c>
      <c r="I233" s="26" t="inlineStr">
        <is>
          <t>P2</t>
        </is>
      </c>
      <c r="J233" s="28" t="inlineStr">
        <is>
          <t>Pass</t>
        </is>
      </c>
      <c r="K233" s="29" t="inlineStr">
        <is>
          <t>Two wallets of customers sharing an ID token exchange 4,000 → 1 alert (txn.isLinkedParty, hidden self-transfer).</t>
        </is>
      </c>
      <c r="L233" s="29" t="inlineStr">
        <is>
          <t>Claude (automated test suite)</t>
        </is>
      </c>
      <c r="M233" s="29" t="inlineStr">
        <is>
          <t>2026-10-15</t>
        </is>
      </c>
      <c r="N233" s="29" t="n"/>
      <c r="O233" s="29" t="inlineStr">
        <is>
          <t>Automated: ExtendedCapabilityTests.CSH_03_CIR_02_03_MUL_02_04. Blocked in the first execution (capability gap); executable after the rule DSL extension.</t>
        </is>
      </c>
    </row>
    <row r="234" ht="15" customHeight="1" s="16">
      <c r="A234" s="26" t="inlineStr">
        <is>
          <t>TM-CIR-03-02</t>
        </is>
      </c>
      <c r="B234" s="26" t="inlineStr">
        <is>
          <t>Circular &amp; Related-party</t>
        </is>
      </c>
      <c r="C234" s="26" t="inlineStr">
        <is>
          <t>CIR-03</t>
        </is>
      </c>
      <c r="D234" s="26" t="inlineStr">
        <is>
          <t>Transfers between linked customers</t>
        </is>
      </c>
      <c r="E234" s="26" t="inlineStr">
        <is>
          <t>Negative</t>
        </is>
      </c>
      <c r="F234" s="26" t="inlineStr">
        <is>
          <t>Unlinked parties</t>
        </is>
      </c>
      <c r="G234" s="26" t="inlineStr">
        <is>
          <t>No alert</t>
        </is>
      </c>
      <c r="H234" s="26" t="inlineStr">
        <is>
          <t>Medium</t>
        </is>
      </c>
      <c r="I234" s="26" t="inlineStr">
        <is>
          <t>P2</t>
        </is>
      </c>
      <c r="J234" s="28" t="inlineStr">
        <is>
          <t>Pass</t>
        </is>
      </c>
      <c r="K234" s="29" t="inlineStr">
        <is>
          <t>Unlinked parties exchange 4,000 → 0 alerts.</t>
        </is>
      </c>
      <c r="L234" s="29" t="inlineStr">
        <is>
          <t>Claude (automated test suite)</t>
        </is>
      </c>
      <c r="M234" s="29" t="inlineStr">
        <is>
          <t>2026-10-15</t>
        </is>
      </c>
      <c r="N234" s="29" t="n"/>
      <c r="O234" s="29" t="inlineStr">
        <is>
          <t>Automated: ExtendedCapabilityTests.CSH_03_CIR_02_03_MUL_02_04. Blocked in the first execution (capability gap); executable after the rule DSL extension.</t>
        </is>
      </c>
    </row>
    <row r="235" ht="22.35" customHeight="1" s="16">
      <c r="A235" s="26" t="inlineStr">
        <is>
          <t>TM-MUL-01-01</t>
        </is>
      </c>
      <c r="B235" s="26" t="inlineStr">
        <is>
          <t>Money Mule</t>
        </is>
      </c>
      <c r="C235" s="26" t="inlineStr">
        <is>
          <t>MUL-01</t>
        </is>
      </c>
      <c r="D235" s="26" t="inlineStr">
        <is>
          <t>Mule account — many unrelated inflows then cash-out</t>
        </is>
      </c>
      <c r="E235" s="26" t="inlineStr">
        <is>
          <t>Positive</t>
        </is>
      </c>
      <c r="F235" s="26" t="inlineStr">
        <is>
          <t>7 strangers send 300 each; 1,900 cashed out within 5 hours</t>
        </is>
      </c>
      <c r="G235" s="26" t="inlineStr">
        <is>
          <t>Alert raised</t>
        </is>
      </c>
      <c r="H235" s="26" t="inlineStr">
        <is>
          <t>High</t>
        </is>
      </c>
      <c r="I235" s="26" t="inlineStr">
        <is>
          <t>P1</t>
        </is>
      </c>
      <c r="J235" s="28" t="inlineStr">
        <is>
          <t>Pass</t>
        </is>
      </c>
      <c r="K235" s="29" t="inlineStr">
        <is>
          <t>7 senders × 300, 1,900 cashed out within 5 h → 1 alert.</t>
        </is>
      </c>
      <c r="L235" s="29" t="inlineStr">
        <is>
          <t>Claude (automated test suite)</t>
        </is>
      </c>
      <c r="M235" s="29" t="inlineStr">
        <is>
          <t>2026-10-15</t>
        </is>
      </c>
      <c r="N235" s="29" t="n"/>
      <c r="O235" s="29" t="inlineStr">
        <is>
          <t>Automated: NetworkMuleTests.MUL_01_mule_inflows_then_cash_out. Note: '≥80% cashed out' is measured as outflow within 24 h relative to an inflow; 'unrelated' senders and the cash-out type of the outflow are not checked.</t>
        </is>
      </c>
    </row>
    <row r="236" ht="22.35" customHeight="1" s="16">
      <c r="A236" s="26" t="inlineStr">
        <is>
          <t>TM-MUL-01-02</t>
        </is>
      </c>
      <c r="B236" s="26" t="inlineStr">
        <is>
          <t>Money Mule</t>
        </is>
      </c>
      <c r="C236" s="26" t="inlineStr">
        <is>
          <t>MUL-01</t>
        </is>
      </c>
      <c r="D236" s="26" t="inlineStr">
        <is>
          <t>Mule account — many unrelated inflows then cash-out</t>
        </is>
      </c>
      <c r="E236" s="26" t="inlineStr">
        <is>
          <t>Negative</t>
        </is>
      </c>
      <c r="F236" s="26" t="inlineStr">
        <is>
          <t>7 senders but funds kept for weeks</t>
        </is>
      </c>
      <c r="G236" s="26" t="inlineStr">
        <is>
          <t>No alert</t>
        </is>
      </c>
      <c r="H236" s="26" t="inlineStr">
        <is>
          <t>High</t>
        </is>
      </c>
      <c r="I236" s="26" t="inlineStr">
        <is>
          <t>P1</t>
        </is>
      </c>
      <c r="J236" s="28" t="inlineStr">
        <is>
          <t>Pass</t>
        </is>
      </c>
      <c r="K236" s="29" t="inlineStr">
        <is>
          <t>7 senders, funds kept for a month → 0 alerts.</t>
        </is>
      </c>
      <c r="L236" s="29" t="inlineStr">
        <is>
          <t>Claude (automated test suite)</t>
        </is>
      </c>
      <c r="M236" s="29" t="inlineStr">
        <is>
          <t>2026-10-15</t>
        </is>
      </c>
      <c r="N236" s="29" t="n"/>
      <c r="O236" s="29" t="inlineStr">
        <is>
          <t>Automated: NetworkMuleTests.MUL_01_mule_inflows_then_cash_out</t>
        </is>
      </c>
    </row>
    <row r="237" ht="15" customHeight="1" s="16">
      <c r="A237" s="26" t="inlineStr">
        <is>
          <t>TM-MUL-02-01</t>
        </is>
      </c>
      <c r="B237" s="26" t="inlineStr">
        <is>
          <t>Money Mule</t>
        </is>
      </c>
      <c r="C237" s="26" t="inlineStr">
        <is>
          <t>MUL-02</t>
        </is>
      </c>
      <c r="D237" s="26" t="inlineStr">
        <is>
          <t>New account receives large inflow</t>
        </is>
      </c>
      <c r="E237" s="26" t="inlineStr">
        <is>
          <t>Positive</t>
        </is>
      </c>
      <c r="F237" s="26" t="inlineStr">
        <is>
          <t>5-day-old wallet receives 3,000</t>
        </is>
      </c>
      <c r="G237" s="26" t="inlineStr">
        <is>
          <t>Alert raised</t>
        </is>
      </c>
      <c r="H237" s="26" t="inlineStr">
        <is>
          <t>High</t>
        </is>
      </c>
      <c r="I237" s="26" t="inlineStr">
        <is>
          <t>P1</t>
        </is>
      </c>
      <c r="J237" s="28" t="inlineStr">
        <is>
          <t>Pass</t>
        </is>
      </c>
      <c r="K237" s="29" t="inlineStr">
        <is>
          <t>5-day-old wallet receives 3,000 → 1 alert.</t>
        </is>
      </c>
      <c r="L237" s="29" t="inlineStr">
        <is>
          <t>Claude (automated test suite)</t>
        </is>
      </c>
      <c r="M237" s="29" t="inlineStr">
        <is>
          <t>2026-10-15</t>
        </is>
      </c>
      <c r="N237" s="29" t="n"/>
      <c r="O237" s="29" t="inlineStr">
        <is>
          <t>Automated: ExtendedCapabilityTests.CSH_03_CIR_02_03_MUL_02_04. Blocked in the first execution (capability gap); executable after the rule DSL extension.</t>
        </is>
      </c>
    </row>
    <row r="238" ht="15" customHeight="1" s="16">
      <c r="A238" s="26" t="inlineStr">
        <is>
          <t>TM-MUL-02-02</t>
        </is>
      </c>
      <c r="B238" s="26" t="inlineStr">
        <is>
          <t>Money Mule</t>
        </is>
      </c>
      <c r="C238" s="26" t="inlineStr">
        <is>
          <t>MUL-02</t>
        </is>
      </c>
      <c r="D238" s="26" t="inlineStr">
        <is>
          <t>New account receives large inflow</t>
        </is>
      </c>
      <c r="E238" s="26" t="inlineStr">
        <is>
          <t>Negative</t>
        </is>
      </c>
      <c r="F238" s="26" t="inlineStr">
        <is>
          <t>2-year-old wallet receives 3,000</t>
        </is>
      </c>
      <c r="G238" s="26" t="inlineStr">
        <is>
          <t>No alert for this rule</t>
        </is>
      </c>
      <c r="H238" s="26" t="inlineStr">
        <is>
          <t>High</t>
        </is>
      </c>
      <c r="I238" s="26" t="inlineStr">
        <is>
          <t>P1</t>
        </is>
      </c>
      <c r="J238" s="28" t="inlineStr">
        <is>
          <t>Pass</t>
        </is>
      </c>
      <c r="K238" s="29" t="inlineStr">
        <is>
          <t>2-year-old wallet receives 3,000 → 0 alerts.</t>
        </is>
      </c>
      <c r="L238" s="29" t="inlineStr">
        <is>
          <t>Claude (automated test suite)</t>
        </is>
      </c>
      <c r="M238" s="29" t="inlineStr">
        <is>
          <t>2026-10-15</t>
        </is>
      </c>
      <c r="N238" s="29" t="n"/>
      <c r="O238" s="29" t="inlineStr">
        <is>
          <t>Automated: ExtendedCapabilityTests.CSH_03_CIR_02_03_MUL_02_04. Blocked in the first execution (capability gap); executable after the rule DSL extension.</t>
        </is>
      </c>
    </row>
    <row r="239" ht="15" customHeight="1" s="16">
      <c r="A239" s="26" t="inlineStr">
        <is>
          <t>TM-MUL-03-01</t>
        </is>
      </c>
      <c r="B239" s="26" t="inlineStr">
        <is>
          <t>Money Mule</t>
        </is>
      </c>
      <c r="C239" s="26" t="inlineStr">
        <is>
          <t>MUL-03</t>
        </is>
      </c>
      <c r="D239" s="26" t="inlineStr">
        <is>
          <t>Inflows from fraud-reported wallets</t>
        </is>
      </c>
      <c r="E239" s="26" t="inlineStr">
        <is>
          <t>Positive</t>
        </is>
      </c>
      <c r="F239" s="26" t="inlineStr">
        <is>
          <t>Receives 500 from wallet with confirmed fraud case</t>
        </is>
      </c>
      <c r="G239" s="26" t="inlineStr">
        <is>
          <t>Alert raised</t>
        </is>
      </c>
      <c r="H239" s="26" t="inlineStr">
        <is>
          <t>High</t>
        </is>
      </c>
      <c r="I239" s="26" t="inlineStr">
        <is>
          <t>P1</t>
        </is>
      </c>
      <c r="J239" s="28" t="inlineStr">
        <is>
          <t>Pass</t>
        </is>
      </c>
      <c r="K239" s="29" t="inlineStr">
        <is>
          <t>Receives 500 from a customer with a confirmed fraud flag → 1 alert (counterparty.field:TM_FRAUD_CONFIRMED).</t>
        </is>
      </c>
      <c r="L239" s="29" t="inlineStr">
        <is>
          <t>Claude (automated test suite)</t>
        </is>
      </c>
      <c r="M239" s="29" t="inlineStr">
        <is>
          <t>2026-10-15</t>
        </is>
      </c>
      <c r="N239" s="29" t="n"/>
      <c r="O239" s="29" t="inlineStr">
        <is>
          <t>Automated: ExtendedCapabilityTests.MUL_03_VAG_ATO_03_counterparty_and_login. Blocked in the first execution (capability gap); executable after the rule DSL extension.</t>
        </is>
      </c>
    </row>
    <row r="240" ht="15" customHeight="1" s="16">
      <c r="A240" s="26" t="inlineStr">
        <is>
          <t>TM-MUL-03-02</t>
        </is>
      </c>
      <c r="B240" s="26" t="inlineStr">
        <is>
          <t>Money Mule</t>
        </is>
      </c>
      <c r="C240" s="26" t="inlineStr">
        <is>
          <t>MUL-03</t>
        </is>
      </c>
      <c r="D240" s="26" t="inlineStr">
        <is>
          <t>Inflows from fraud-reported wallets</t>
        </is>
      </c>
      <c r="E240" s="26" t="inlineStr">
        <is>
          <t>Negative</t>
        </is>
      </c>
      <c r="F240" s="26" t="inlineStr">
        <is>
          <t>Sender flag closed as false positive</t>
        </is>
      </c>
      <c r="G240" s="26" t="inlineStr">
        <is>
          <t>No alert</t>
        </is>
      </c>
      <c r="H240" s="26" t="inlineStr">
        <is>
          <t>High</t>
        </is>
      </c>
      <c r="I240" s="26" t="inlineStr">
        <is>
          <t>P1</t>
        </is>
      </c>
      <c r="J240" s="28" t="inlineStr">
        <is>
          <t>Pass</t>
        </is>
      </c>
      <c r="K240" s="29" t="inlineStr">
        <is>
          <t>Sender's flag closed as false positive → 0 alerts.</t>
        </is>
      </c>
      <c r="L240" s="29" t="inlineStr">
        <is>
          <t>Claude (automated test suite)</t>
        </is>
      </c>
      <c r="M240" s="29" t="inlineStr">
        <is>
          <t>2026-10-15</t>
        </is>
      </c>
      <c r="N240" s="29" t="n"/>
      <c r="O240" s="29" t="inlineStr">
        <is>
          <t>Automated: ExtendedCapabilityTests.MUL_03_VAG_ATO_03_counterparty_and_login. Blocked in the first execution (capability gap); executable after the rule DSL extension.</t>
        </is>
      </c>
    </row>
    <row r="241" ht="15" customHeight="1" s="16">
      <c r="A241" s="26" t="inlineStr">
        <is>
          <t>TM-MUL-04-01</t>
        </is>
      </c>
      <c r="B241" s="26" t="inlineStr">
        <is>
          <t>Money Mule</t>
        </is>
      </c>
      <c r="C241" s="26" t="inlineStr">
        <is>
          <t>MUL-04</t>
        </is>
      </c>
      <c r="D241" s="26" t="inlineStr">
        <is>
          <t>Young customer acting as conduit</t>
        </is>
      </c>
      <c r="E241" s="26" t="inlineStr">
        <is>
          <t>Positive</t>
        </is>
      </c>
      <c r="F241" s="26" t="inlineStr">
        <is>
          <t>20-year-old receives and forwards 3,000 in a month</t>
        </is>
      </c>
      <c r="G241" s="26" t="inlineStr">
        <is>
          <t>Alert raised</t>
        </is>
      </c>
      <c r="H241" s="26" t="inlineStr">
        <is>
          <t>Medium</t>
        </is>
      </c>
      <c r="I241" s="26" t="inlineStr">
        <is>
          <t>P2</t>
        </is>
      </c>
      <c r="J241" s="28" t="inlineStr">
        <is>
          <t>Pass</t>
        </is>
      </c>
      <c r="K241" s="29" t="inlineStr">
        <is>
          <t>20-year-old receives 3,000 and forwards 2,900 in the month → 1 alert.</t>
        </is>
      </c>
      <c r="L241" s="29" t="inlineStr">
        <is>
          <t>Claude (automated test suite)</t>
        </is>
      </c>
      <c r="M241" s="29" t="inlineStr">
        <is>
          <t>2026-10-15</t>
        </is>
      </c>
      <c r="N241" s="29" t="n"/>
      <c r="O241" s="29" t="inlineStr">
        <is>
          <t>Automated: ExtendedCapabilityTests.CSH_03_CIR_02_03_MUL_02_04. Blocked in the first execution (capability gap); executable after the rule DSL extension.</t>
        </is>
      </c>
    </row>
    <row r="242" ht="15" customHeight="1" s="16">
      <c r="A242" s="26" t="inlineStr">
        <is>
          <t>TM-MUL-04-02</t>
        </is>
      </c>
      <c r="B242" s="26" t="inlineStr">
        <is>
          <t>Money Mule</t>
        </is>
      </c>
      <c r="C242" s="26" t="inlineStr">
        <is>
          <t>MUL-04</t>
        </is>
      </c>
      <c r="D242" s="26" t="inlineStr">
        <is>
          <t>Young customer acting as conduit</t>
        </is>
      </c>
      <c r="E242" s="26" t="inlineStr">
        <is>
          <t>Negative</t>
        </is>
      </c>
      <c r="F242" s="26" t="inlineStr">
        <is>
          <t>Same age, normal spend</t>
        </is>
      </c>
      <c r="G242" s="26" t="inlineStr">
        <is>
          <t>No alert</t>
        </is>
      </c>
      <c r="H242" s="26" t="inlineStr">
        <is>
          <t>Medium</t>
        </is>
      </c>
      <c r="I242" s="26" t="inlineStr">
        <is>
          <t>P2</t>
        </is>
      </c>
      <c r="J242" s="28" t="inlineStr">
        <is>
          <t>Pass</t>
        </is>
      </c>
      <c r="K242" s="29" t="inlineStr">
        <is>
          <t>Same age, normal spend → 0 alerts.</t>
        </is>
      </c>
      <c r="L242" s="29" t="inlineStr">
        <is>
          <t>Claude (automated test suite)</t>
        </is>
      </c>
      <c r="M242" s="29" t="inlineStr">
        <is>
          <t>2026-10-15</t>
        </is>
      </c>
      <c r="N242" s="29" t="n"/>
      <c r="O242" s="29" t="inlineStr">
        <is>
          <t>Automated: ExtendedCapabilityTests.CSH_03_CIR_02_03_MUL_02_04. Blocked in the first execution (capability gap); executable after the rule DSL extension.</t>
        </is>
      </c>
    </row>
    <row r="243" ht="22.35" customHeight="1" s="16">
      <c r="A243" s="26" t="inlineStr">
        <is>
          <t>TM-XBR-01-01</t>
        </is>
      </c>
      <c r="B243" s="26" t="inlineStr">
        <is>
          <t>Cross-border Remittance</t>
        </is>
      </c>
      <c r="C243" s="26" t="inlineStr">
        <is>
          <t>XBR-01</t>
        </is>
      </c>
      <c r="D243" s="26" t="inlineStr">
        <is>
          <t>Multiple remittances to many beneficiaries abroad</t>
        </is>
      </c>
      <c r="E243" s="26" t="inlineStr">
        <is>
          <t>Positive</t>
        </is>
      </c>
      <c r="F243" s="26" t="inlineStr">
        <is>
          <t>Customer remits to 7 different people in 3 countries</t>
        </is>
      </c>
      <c r="G243" s="26" t="inlineStr">
        <is>
          <t>Alert raised</t>
        </is>
      </c>
      <c r="H243" s="26" t="inlineStr">
        <is>
          <t>Medium</t>
        </is>
      </c>
      <c r="I243" s="26" t="inlineStr">
        <is>
          <t>P1</t>
        </is>
      </c>
      <c r="J243" s="28" t="inlineStr">
        <is>
          <t>Pass</t>
        </is>
      </c>
      <c r="K243" s="29" t="inlineStr">
        <is>
          <t>Remits to 7 people in 3 countries in October → 1 alert.</t>
        </is>
      </c>
      <c r="L243" s="29" t="inlineStr">
        <is>
          <t>Claude (automated test suite)</t>
        </is>
      </c>
      <c r="M243" s="29" t="inlineStr">
        <is>
          <t>2026-10-15</t>
        </is>
      </c>
      <c r="N243" s="29" t="n"/>
      <c r="O243" s="29" t="inlineStr">
        <is>
          <t>Automated: CrossBorderPrepaidTests.XBR_01_many_foreign_beneficiaries</t>
        </is>
      </c>
    </row>
    <row r="244" ht="22.35" customHeight="1" s="16">
      <c r="A244" s="26" t="inlineStr">
        <is>
          <t>TM-XBR-01-02</t>
        </is>
      </c>
      <c r="B244" s="26" t="inlineStr">
        <is>
          <t>Cross-border Remittance</t>
        </is>
      </c>
      <c r="C244" s="26" t="inlineStr">
        <is>
          <t>XBR-01</t>
        </is>
      </c>
      <c r="D244" s="26" t="inlineStr">
        <is>
          <t>Multiple remittances to many beneficiaries abroad</t>
        </is>
      </c>
      <c r="E244" s="26" t="inlineStr">
        <is>
          <t>Negative</t>
        </is>
      </c>
      <c r="F244" s="26" t="inlineStr">
        <is>
          <t>Remits monthly to 1 family member</t>
        </is>
      </c>
      <c r="G244" s="26" t="inlineStr">
        <is>
          <t>No alert</t>
        </is>
      </c>
      <c r="H244" s="26" t="inlineStr">
        <is>
          <t>Medium</t>
        </is>
      </c>
      <c r="I244" s="26" t="inlineStr">
        <is>
          <t>P1</t>
        </is>
      </c>
      <c r="J244" s="28" t="inlineStr">
        <is>
          <t>Pass</t>
        </is>
      </c>
      <c r="K244" s="29" t="inlineStr">
        <is>
          <t>Monthly to 1 family member → 0 alerts.</t>
        </is>
      </c>
      <c r="L244" s="29" t="inlineStr">
        <is>
          <t>Claude (automated test suite)</t>
        </is>
      </c>
      <c r="M244" s="29" t="inlineStr">
        <is>
          <t>2026-10-15</t>
        </is>
      </c>
      <c r="N244" s="29" t="n"/>
      <c r="O244" s="29" t="inlineStr">
        <is>
          <t>Automated: CrossBorderPrepaidTests.XBR_01_many_foreign_beneficiaries</t>
        </is>
      </c>
    </row>
    <row r="245" ht="22.35" customHeight="1" s="16">
      <c r="A245" s="26" t="inlineStr">
        <is>
          <t>TM-XBR-02-01</t>
        </is>
      </c>
      <c r="B245" s="26" t="inlineStr">
        <is>
          <t>Cross-border Remittance</t>
        </is>
      </c>
      <c r="C245" s="26" t="inlineStr">
        <is>
          <t>XBR-02</t>
        </is>
      </c>
      <c r="D245" s="26" t="inlineStr">
        <is>
          <t>Missing originator/beneficiary information (R.16)</t>
        </is>
      </c>
      <c r="E245" s="26" t="inlineStr">
        <is>
          <t>Positive</t>
        </is>
      </c>
      <c r="F245" s="26" t="inlineStr">
        <is>
          <t>1,200 USD remittance without originator address</t>
        </is>
      </c>
      <c r="G245" s="26" t="inlineStr">
        <is>
          <t>Completeness alert</t>
        </is>
      </c>
      <c r="H245" s="26" t="inlineStr">
        <is>
          <t>Medium</t>
        </is>
      </c>
      <c r="I245" s="26" t="inlineStr">
        <is>
          <t>P1</t>
        </is>
      </c>
      <c r="J245" s="28" t="inlineStr">
        <is>
          <t>Pass</t>
        </is>
      </c>
      <c r="K245" s="29" t="inlineStr">
        <is>
          <t>1,200 USD remittance without originator address → status Incomplete (missing OriginatorAddress), 1 completeness alert.</t>
        </is>
      </c>
      <c r="L245" s="29" t="inlineStr">
        <is>
          <t>Claude (automated test suite)</t>
        </is>
      </c>
      <c r="M245" s="29" t="inlineStr">
        <is>
          <t>2026-10-15</t>
        </is>
      </c>
      <c r="N245" s="29" t="n"/>
      <c r="O245" s="29" t="inlineStr">
        <is>
          <t>Automated: CrossBorderPrepaidTests.XBR_02_payment_transparency</t>
        </is>
      </c>
    </row>
    <row r="246" ht="22.35" customHeight="1" s="16">
      <c r="A246" s="26" t="inlineStr">
        <is>
          <t>TM-XBR-02-02</t>
        </is>
      </c>
      <c r="B246" s="26" t="inlineStr">
        <is>
          <t>Cross-border Remittance</t>
        </is>
      </c>
      <c r="C246" s="26" t="inlineStr">
        <is>
          <t>XBR-02</t>
        </is>
      </c>
      <c r="D246" s="26" t="inlineStr">
        <is>
          <t>Missing originator/beneficiary information (R.16)</t>
        </is>
      </c>
      <c r="E246" s="26" t="inlineStr">
        <is>
          <t>Negative</t>
        </is>
      </c>
      <c r="F246" s="26" t="inlineStr">
        <is>
          <t>All required fields present</t>
        </is>
      </c>
      <c r="G246" s="26" t="inlineStr">
        <is>
          <t>No alert</t>
        </is>
      </c>
      <c r="H246" s="26" t="inlineStr">
        <is>
          <t>Medium</t>
        </is>
      </c>
      <c r="I246" s="26" t="inlineStr">
        <is>
          <t>P1</t>
        </is>
      </c>
      <c r="J246" s="28" t="inlineStr">
        <is>
          <t>Pass</t>
        </is>
      </c>
      <c r="K246" s="29" t="inlineStr">
        <is>
          <t>All required fields present → status Complete, 0 alerts.</t>
        </is>
      </c>
      <c r="L246" s="29" t="inlineStr">
        <is>
          <t>Claude (automated test suite)</t>
        </is>
      </c>
      <c r="M246" s="29" t="inlineStr">
        <is>
          <t>2026-10-15</t>
        </is>
      </c>
      <c r="N246" s="29" t="n"/>
      <c r="O246" s="29" t="inlineStr">
        <is>
          <t>Automated: CrossBorderPrepaidTests.XBR_02_payment_transparency</t>
        </is>
      </c>
    </row>
    <row r="247" ht="22.35" customHeight="1" s="16">
      <c r="A247" s="26" t="inlineStr">
        <is>
          <t>TM-XBR-02-03</t>
        </is>
      </c>
      <c r="B247" s="26" t="inlineStr">
        <is>
          <t>Cross-border Remittance</t>
        </is>
      </c>
      <c r="C247" s="26" t="inlineStr">
        <is>
          <t>XBR-02</t>
        </is>
      </c>
      <c r="D247" s="26" t="inlineStr">
        <is>
          <t>Missing originator/beneficiary information (R.16)</t>
        </is>
      </c>
      <c r="E247" s="26" t="inlineStr">
        <is>
          <t>Edge</t>
        </is>
      </c>
      <c r="F247" s="26" t="inlineStr">
        <is>
          <t>Beneficiary name 'XXX'</t>
        </is>
      </c>
      <c r="G247" s="26" t="inlineStr">
        <is>
          <t>Treated as missing</t>
        </is>
      </c>
      <c r="H247" s="26" t="inlineStr">
        <is>
          <t>Medium</t>
        </is>
      </c>
      <c r="I247" s="26" t="inlineStr">
        <is>
          <t>P1</t>
        </is>
      </c>
      <c r="J247" s="28" t="inlineStr">
        <is>
          <t>Pass</t>
        </is>
      </c>
      <c r="K247" s="29" t="inlineStr">
        <is>
          <t>Beneficiary name 'XXX' treated as missing → Incomplete (meaningless BeneficiaryName), 1 alert.</t>
        </is>
      </c>
      <c r="L247" s="29" t="inlineStr">
        <is>
          <t>Claude (automated test suite)</t>
        </is>
      </c>
      <c r="M247" s="29" t="inlineStr">
        <is>
          <t>2026-10-15</t>
        </is>
      </c>
      <c r="N247" s="29" t="n"/>
      <c r="O247" s="29" t="inlineStr">
        <is>
          <t>Automated: CrossBorderPrepaidTests.XBR_02_payment_transparency</t>
        </is>
      </c>
    </row>
    <row r="248" ht="15" customHeight="1" s="16">
      <c r="A248" s="26" t="inlineStr">
        <is>
          <t>TM-XBR-03-01</t>
        </is>
      </c>
      <c r="B248" s="26" t="inlineStr">
        <is>
          <t>Cross-border Remittance</t>
        </is>
      </c>
      <c r="C248" s="26" t="inlineStr">
        <is>
          <t>XBR-03</t>
        </is>
      </c>
      <c r="D248" s="26" t="inlineStr">
        <is>
          <t>Remittance corridor anomaly</t>
        </is>
      </c>
      <c r="E248" s="26" t="inlineStr">
        <is>
          <t>Positive</t>
        </is>
      </c>
      <c r="F248" s="26" t="inlineStr">
        <is>
          <t>Customer remits to rare corridor</t>
        </is>
      </c>
      <c r="G248" s="26" t="inlineStr">
        <is>
          <t>Alert raised</t>
        </is>
      </c>
      <c r="H248" s="26" t="inlineStr">
        <is>
          <t>Low</t>
        </is>
      </c>
      <c r="I248" s="26" t="inlineStr">
        <is>
          <t>P3</t>
        </is>
      </c>
      <c r="J248" s="30" t="inlineStr">
        <is>
          <t>Blocked</t>
        </is>
      </c>
      <c r="K248" s="29" t="inlineStr">
        <is>
          <t>Capability gap — No corridor share per peer group (nationality/segment). Closest rule definition rejected by the rule validator: $.condition.aggregate: Unknown aggregate 'corridorPeerShare'.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48" s="29" t="inlineStr">
        <is>
          <t>Claude (automated test suite)</t>
        </is>
      </c>
      <c r="M248" s="29" t="inlineStr">
        <is>
          <t>2026-10-15</t>
        </is>
      </c>
      <c r="N248" s="29" t="inlineStr">
        <is>
          <t>GAP-XBR-03</t>
        </is>
      </c>
      <c r="O248" s="29" t="inlineStr">
        <is>
          <t>Automated: CapabilityGapTests.Scenario_not_configurable (rule validator evidence)</t>
        </is>
      </c>
    </row>
    <row r="249" ht="15" customHeight="1" s="16">
      <c r="A249" s="26" t="inlineStr">
        <is>
          <t>TM-XBR-03-02</t>
        </is>
      </c>
      <c r="B249" s="26" t="inlineStr">
        <is>
          <t>Cross-border Remittance</t>
        </is>
      </c>
      <c r="C249" s="26" t="inlineStr">
        <is>
          <t>XBR-03</t>
        </is>
      </c>
      <c r="D249" s="26" t="inlineStr">
        <is>
          <t>Remittance corridor anomaly</t>
        </is>
      </c>
      <c r="E249" s="26" t="inlineStr">
        <is>
          <t>Negative</t>
        </is>
      </c>
      <c r="F249" s="26" t="inlineStr">
        <is>
          <t>Common corridor</t>
        </is>
      </c>
      <c r="G249" s="26" t="inlineStr">
        <is>
          <t>No alert</t>
        </is>
      </c>
      <c r="H249" s="26" t="inlineStr">
        <is>
          <t>Low</t>
        </is>
      </c>
      <c r="I249" s="26" t="inlineStr">
        <is>
          <t>P3</t>
        </is>
      </c>
      <c r="J249" s="30" t="inlineStr">
        <is>
          <t>Blocked</t>
        </is>
      </c>
      <c r="K249" s="29" t="inlineStr">
        <is>
          <t>Capability gap — No corridor share per peer group (nationality/segment). Closest rule definition rejected by the rule validator: $.condition.aggregate: Unknown aggregate 'corridorPeerShare'.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L249" s="29" t="inlineStr">
        <is>
          <t>Claude (automated test suite)</t>
        </is>
      </c>
      <c r="M249" s="29" t="inlineStr">
        <is>
          <t>2026-10-15</t>
        </is>
      </c>
      <c r="N249" s="29" t="inlineStr">
        <is>
          <t>GAP-XBR-03</t>
        </is>
      </c>
      <c r="O249" s="29" t="inlineStr">
        <is>
          <t>Automated: CapabilityGapTests.Scenario_not_configurable (rule validator evidence)</t>
        </is>
      </c>
    </row>
    <row r="250" ht="22.35" customHeight="1" s="16">
      <c r="A250" s="26" t="inlineStr">
        <is>
          <t>TM-XBR-04-01</t>
        </is>
      </c>
      <c r="B250" s="26" t="inlineStr">
        <is>
          <t>Cross-border Remittance</t>
        </is>
      </c>
      <c r="C250" s="26" t="inlineStr">
        <is>
          <t>XBR-04</t>
        </is>
      </c>
      <c r="D250" s="26" t="inlineStr">
        <is>
          <t>Incoming international then domestic dispersal</t>
        </is>
      </c>
      <c r="E250" s="26" t="inlineStr">
        <is>
          <t>Positive</t>
        </is>
      </c>
      <c r="F250" s="26" t="inlineStr">
        <is>
          <t>Receives 5,000 from abroad, sends to 8 local wallets next day</t>
        </is>
      </c>
      <c r="G250" s="26" t="inlineStr">
        <is>
          <t>Alert raised</t>
        </is>
      </c>
      <c r="H250" s="26" t="inlineStr">
        <is>
          <t>High</t>
        </is>
      </c>
      <c r="I250" s="26" t="inlineStr">
        <is>
          <t>P2</t>
        </is>
      </c>
      <c r="J250" s="28" t="inlineStr">
        <is>
          <t>Pass</t>
        </is>
      </c>
      <c r="K250" s="29" t="inlineStr">
        <is>
          <t>Receives 5,000 from abroad, sends to 8 local wallets next day → 1 alert.</t>
        </is>
      </c>
      <c r="L250" s="29" t="inlineStr">
        <is>
          <t>Claude (automated test suite)</t>
        </is>
      </c>
      <c r="M250" s="29" t="inlineStr">
        <is>
          <t>2026-10-15</t>
        </is>
      </c>
      <c r="N250" s="29" t="n"/>
      <c r="O250" s="29" t="inlineStr">
        <is>
          <t>Automated: CrossBorderPrepaidTests.XBR_04_inbound_then_domestic_dispersal. Note: the order inbound-then-outbound is not enforced (both legs within 48 h).</t>
        </is>
      </c>
    </row>
    <row r="251" ht="22.35" customHeight="1" s="16">
      <c r="A251" s="26" t="inlineStr">
        <is>
          <t>TM-XBR-04-02</t>
        </is>
      </c>
      <c r="B251" s="26" t="inlineStr">
        <is>
          <t>Cross-border Remittance</t>
        </is>
      </c>
      <c r="C251" s="26" t="inlineStr">
        <is>
          <t>XBR-04</t>
        </is>
      </c>
      <c r="D251" s="26" t="inlineStr">
        <is>
          <t>Incoming international then domestic dispersal</t>
        </is>
      </c>
      <c r="E251" s="26" t="inlineStr">
        <is>
          <t>Negative</t>
        </is>
      </c>
      <c r="F251" s="26" t="inlineStr">
        <is>
          <t>Kept in wallet</t>
        </is>
      </c>
      <c r="G251" s="26" t="inlineStr">
        <is>
          <t>No alert</t>
        </is>
      </c>
      <c r="H251" s="26" t="inlineStr">
        <is>
          <t>High</t>
        </is>
      </c>
      <c r="I251" s="26" t="inlineStr">
        <is>
          <t>P2</t>
        </is>
      </c>
      <c r="J251" s="28" t="inlineStr">
        <is>
          <t>Pass</t>
        </is>
      </c>
      <c r="K251" s="29" t="inlineStr">
        <is>
          <t>Funds kept in wallet → 0 alerts.</t>
        </is>
      </c>
      <c r="L251" s="29" t="inlineStr">
        <is>
          <t>Claude (automated test suite)</t>
        </is>
      </c>
      <c r="M251" s="29" t="inlineStr">
        <is>
          <t>2026-10-15</t>
        </is>
      </c>
      <c r="N251" s="29" t="n"/>
      <c r="O251" s="29" t="inlineStr">
        <is>
          <t>Automated: CrossBorderPrepaidTests.XBR_04_inbound_then_domestic_dispersal</t>
        </is>
      </c>
    </row>
    <row r="252" ht="22.35" customHeight="1" s="16">
      <c r="A252" s="26" t="inlineStr">
        <is>
          <t>TM-XBR-05-01</t>
        </is>
      </c>
      <c r="B252" s="26" t="inlineStr">
        <is>
          <t>Cross-border Remittance</t>
        </is>
      </c>
      <c r="C252" s="26" t="inlineStr">
        <is>
          <t>XBR-05</t>
        </is>
      </c>
      <c r="D252" s="26" t="inlineStr">
        <is>
          <t>Remittances just below cross-border reporting threshold</t>
        </is>
      </c>
      <c r="E252" s="26" t="inlineStr">
        <is>
          <t>Positive</t>
        </is>
      </c>
      <c r="F252" s="26" t="inlineStr">
        <is>
          <t>Three remittances of 950 USD (threshold 1,000) in 10 days</t>
        </is>
      </c>
      <c r="G252" s="26" t="inlineStr">
        <is>
          <t>Alert raised</t>
        </is>
      </c>
      <c r="H252" s="26" t="inlineStr">
        <is>
          <t>High</t>
        </is>
      </c>
      <c r="I252" s="26" t="inlineStr">
        <is>
          <t>P1</t>
        </is>
      </c>
      <c r="J252" s="28" t="inlineStr">
        <is>
          <t>Pass</t>
        </is>
      </c>
      <c r="K252" s="29" t="inlineStr">
        <is>
          <t>Three 950 USD remittances in 9 days → 1 alert.</t>
        </is>
      </c>
      <c r="L252" s="29" t="inlineStr">
        <is>
          <t>Claude (automated test suite)</t>
        </is>
      </c>
      <c r="M252" s="29" t="inlineStr">
        <is>
          <t>2026-10-15</t>
        </is>
      </c>
      <c r="N252" s="29" t="n"/>
      <c r="O252" s="29" t="inlineStr">
        <is>
          <t>Automated: CrossBorderPrepaidTests.XBR_05_just_below_threshold. Note: band configured on the original-currency amount (900–999.99 USD); other currencies need their own band.</t>
        </is>
      </c>
    </row>
    <row r="253" ht="22.35" customHeight="1" s="16">
      <c r="A253" s="26" t="inlineStr">
        <is>
          <t>TM-XBR-05-02</t>
        </is>
      </c>
      <c r="B253" s="26" t="inlineStr">
        <is>
          <t>Cross-border Remittance</t>
        </is>
      </c>
      <c r="C253" s="26" t="inlineStr">
        <is>
          <t>XBR-05</t>
        </is>
      </c>
      <c r="D253" s="26" t="inlineStr">
        <is>
          <t>Remittances just below cross-border reporting threshold</t>
        </is>
      </c>
      <c r="E253" s="26" t="inlineStr">
        <is>
          <t>Negative</t>
        </is>
      </c>
      <c r="F253" s="26" t="inlineStr">
        <is>
          <t>Single 950 USD remittance</t>
        </is>
      </c>
      <c r="G253" s="26" t="inlineStr">
        <is>
          <t>No alert</t>
        </is>
      </c>
      <c r="H253" s="26" t="inlineStr">
        <is>
          <t>High</t>
        </is>
      </c>
      <c r="I253" s="26" t="inlineStr">
        <is>
          <t>P1</t>
        </is>
      </c>
      <c r="J253" s="28" t="inlineStr">
        <is>
          <t>Pass</t>
        </is>
      </c>
      <c r="K253" s="29" t="inlineStr">
        <is>
          <t>Single 950 USD remittance → 0 alerts.</t>
        </is>
      </c>
      <c r="L253" s="29" t="inlineStr">
        <is>
          <t>Claude (automated test suite)</t>
        </is>
      </c>
      <c r="M253" s="29" t="inlineStr">
        <is>
          <t>2026-10-15</t>
        </is>
      </c>
      <c r="N253" s="29" t="n"/>
      <c r="O253" s="29" t="inlineStr">
        <is>
          <t>Automated: CrossBorderPrepaidTests.XBR_05_just_below_threshold</t>
        </is>
      </c>
    </row>
    <row r="254" ht="22.35" customHeight="1" s="16">
      <c r="A254" s="26" t="inlineStr">
        <is>
          <t>TM-PRP-01-01</t>
        </is>
      </c>
      <c r="B254" s="26" t="inlineStr">
        <is>
          <t>Top-ups, Vouchers &amp; Bill Payments</t>
        </is>
      </c>
      <c r="C254" s="26" t="inlineStr">
        <is>
          <t>PRP-01</t>
        </is>
      </c>
      <c r="D254" s="26" t="inlineStr">
        <is>
          <t>Excessive mobile top-ups</t>
        </is>
      </c>
      <c r="E254" s="26" t="inlineStr">
        <is>
          <t>Positive</t>
        </is>
      </c>
      <c r="F254" s="26" t="inlineStr">
        <is>
          <t>Top-ups to 15 different phone numbers totalling 700</t>
        </is>
      </c>
      <c r="G254" s="26" t="inlineStr">
        <is>
          <t>Alert raised</t>
        </is>
      </c>
      <c r="H254" s="26" t="inlineStr">
        <is>
          <t>Low</t>
        </is>
      </c>
      <c r="I254" s="26" t="inlineStr">
        <is>
          <t>P2</t>
        </is>
      </c>
      <c r="J254" s="28" t="inlineStr">
        <is>
          <t>Pass</t>
        </is>
      </c>
      <c r="K254" s="29" t="inlineStr">
        <is>
          <t>Top-ups to 15 numbers totalling 700 → 1 alert.</t>
        </is>
      </c>
      <c r="L254" s="29" t="inlineStr">
        <is>
          <t>Claude (automated test suite)</t>
        </is>
      </c>
      <c r="M254" s="29" t="inlineStr">
        <is>
          <t>2026-10-15</t>
        </is>
      </c>
      <c r="N254" s="29" t="n"/>
      <c r="O254" s="29" t="inlineStr">
        <is>
          <t>Automated: CrossBorderPrepaidTests.PRP_01_to_04_prepaid_and_bills</t>
        </is>
      </c>
    </row>
    <row r="255" ht="22.35" customHeight="1" s="16">
      <c r="A255" s="26" t="inlineStr">
        <is>
          <t>TM-PRP-01-02</t>
        </is>
      </c>
      <c r="B255" s="26" t="inlineStr">
        <is>
          <t>Top-ups, Vouchers &amp; Bill Payments</t>
        </is>
      </c>
      <c r="C255" s="26" t="inlineStr">
        <is>
          <t>PRP-01</t>
        </is>
      </c>
      <c r="D255" s="26" t="inlineStr">
        <is>
          <t>Excessive mobile top-ups</t>
        </is>
      </c>
      <c r="E255" s="26" t="inlineStr">
        <is>
          <t>Negative</t>
        </is>
      </c>
      <c r="F255" s="26" t="inlineStr">
        <is>
          <t>Own number top-up 20 monthly</t>
        </is>
      </c>
      <c r="G255" s="26" t="inlineStr">
        <is>
          <t>No alert</t>
        </is>
      </c>
      <c r="H255" s="26" t="inlineStr">
        <is>
          <t>Low</t>
        </is>
      </c>
      <c r="I255" s="26" t="inlineStr">
        <is>
          <t>P2</t>
        </is>
      </c>
      <c r="J255" s="28" t="inlineStr">
        <is>
          <t>Pass</t>
        </is>
      </c>
      <c r="K255" s="29" t="inlineStr">
        <is>
          <t>Own number top-up 20 → 0 alerts.</t>
        </is>
      </c>
      <c r="L255" s="29" t="inlineStr">
        <is>
          <t>Claude (automated test suite)</t>
        </is>
      </c>
      <c r="M255" s="29" t="inlineStr">
        <is>
          <t>2026-10-15</t>
        </is>
      </c>
      <c r="N255" s="29" t="n"/>
      <c r="O255" s="29" t="inlineStr">
        <is>
          <t>Automated: CrossBorderPrepaidTests.PRP_01_to_04_prepaid_and_bills</t>
        </is>
      </c>
    </row>
    <row r="256" ht="22.35" customHeight="1" s="16">
      <c r="A256" s="26" t="inlineStr">
        <is>
          <t>TM-PRP-02-01</t>
        </is>
      </c>
      <c r="B256" s="26" t="inlineStr">
        <is>
          <t>Top-ups, Vouchers &amp; Bill Payments</t>
        </is>
      </c>
      <c r="C256" s="26" t="inlineStr">
        <is>
          <t>PRP-02</t>
        </is>
      </c>
      <c r="D256" s="26" t="inlineStr">
        <is>
          <t>Gift card / voucher purchases</t>
        </is>
      </c>
      <c r="E256" s="26" t="inlineStr">
        <is>
          <t>Positive</t>
        </is>
      </c>
      <c r="F256" s="26" t="inlineStr">
        <is>
          <t>Buys 12 vouchers of 100 within 3 days</t>
        </is>
      </c>
      <c r="G256" s="26" t="inlineStr">
        <is>
          <t>Alert raised</t>
        </is>
      </c>
      <c r="H256" s="26" t="inlineStr">
        <is>
          <t>Medium</t>
        </is>
      </c>
      <c r="I256" s="26" t="inlineStr">
        <is>
          <t>P2</t>
        </is>
      </c>
      <c r="J256" s="28" t="inlineStr">
        <is>
          <t>Pass</t>
        </is>
      </c>
      <c r="K256" s="29" t="inlineStr">
        <is>
          <t>12 vouchers of 100 within 3 days → 1 alert.</t>
        </is>
      </c>
      <c r="L256" s="29" t="inlineStr">
        <is>
          <t>Claude (automated test suite)</t>
        </is>
      </c>
      <c r="M256" s="29" t="inlineStr">
        <is>
          <t>2026-10-15</t>
        </is>
      </c>
      <c r="N256" s="29" t="n"/>
      <c r="O256" s="29" t="inlineStr">
        <is>
          <t>Automated: CrossBorderPrepaidTests.PRP_01_to_04_prepaid_and_bills</t>
        </is>
      </c>
    </row>
    <row r="257" ht="22.35" customHeight="1" s="16">
      <c r="A257" s="26" t="inlineStr">
        <is>
          <t>TM-PRP-02-02</t>
        </is>
      </c>
      <c r="B257" s="26" t="inlineStr">
        <is>
          <t>Top-ups, Vouchers &amp; Bill Payments</t>
        </is>
      </c>
      <c r="C257" s="26" t="inlineStr">
        <is>
          <t>PRP-02</t>
        </is>
      </c>
      <c r="D257" s="26" t="inlineStr">
        <is>
          <t>Gift card / voucher purchases</t>
        </is>
      </c>
      <c r="E257" s="26" t="inlineStr">
        <is>
          <t>Negative</t>
        </is>
      </c>
      <c r="F257" s="26" t="inlineStr">
        <is>
          <t>One 50 voucher</t>
        </is>
      </c>
      <c r="G257" s="26" t="inlineStr">
        <is>
          <t>No alert</t>
        </is>
      </c>
      <c r="H257" s="26" t="inlineStr">
        <is>
          <t>Medium</t>
        </is>
      </c>
      <c r="I257" s="26" t="inlineStr">
        <is>
          <t>P2</t>
        </is>
      </c>
      <c r="J257" s="28" t="inlineStr">
        <is>
          <t>Pass</t>
        </is>
      </c>
      <c r="K257" s="29" t="inlineStr">
        <is>
          <t>One 50 voucher → 0 alerts.</t>
        </is>
      </c>
      <c r="L257" s="29" t="inlineStr">
        <is>
          <t>Claude (automated test suite)</t>
        </is>
      </c>
      <c r="M257" s="29" t="inlineStr">
        <is>
          <t>2026-10-15</t>
        </is>
      </c>
      <c r="N257" s="29" t="n"/>
      <c r="O257" s="29" t="inlineStr">
        <is>
          <t>Automated: CrossBorderPrepaidTests.PRP_01_to_04_prepaid_and_bills</t>
        </is>
      </c>
    </row>
    <row r="258" ht="22.35" customHeight="1" s="16">
      <c r="A258" s="26" t="inlineStr">
        <is>
          <t>TM-PRP-03-01</t>
        </is>
      </c>
      <c r="B258" s="26" t="inlineStr">
        <is>
          <t>Top-ups, Vouchers &amp; Bill Payments</t>
        </is>
      </c>
      <c r="C258" s="26" t="inlineStr">
        <is>
          <t>PRP-03</t>
        </is>
      </c>
      <c r="D258" s="26" t="inlineStr">
        <is>
          <t>Bill payments for many unrelated accounts</t>
        </is>
      </c>
      <c r="E258" s="26" t="inlineStr">
        <is>
          <t>Positive</t>
        </is>
      </c>
      <c r="F258" s="26" t="inlineStr">
        <is>
          <t>Pays 14 different electricity accounts</t>
        </is>
      </c>
      <c r="G258" s="26" t="inlineStr">
        <is>
          <t>Alert raised</t>
        </is>
      </c>
      <c r="H258" s="26" t="inlineStr">
        <is>
          <t>Low</t>
        </is>
      </c>
      <c r="I258" s="26" t="inlineStr">
        <is>
          <t>P3</t>
        </is>
      </c>
      <c r="J258" s="28" t="inlineStr">
        <is>
          <t>Pass</t>
        </is>
      </c>
      <c r="K258" s="29" t="inlineStr">
        <is>
          <t>Pays 14 different electricity accounts → 1 alert.</t>
        </is>
      </c>
      <c r="L258" s="29" t="inlineStr">
        <is>
          <t>Claude (automated test suite)</t>
        </is>
      </c>
      <c r="M258" s="29" t="inlineStr">
        <is>
          <t>2026-10-15</t>
        </is>
      </c>
      <c r="N258" s="29" t="n"/>
      <c r="O258" s="29" t="inlineStr">
        <is>
          <t>Automated: CrossBorderPrepaidTests.PRP_01_to_04_prepaid_and_bills</t>
        </is>
      </c>
    </row>
    <row r="259" ht="22.35" customHeight="1" s="16">
      <c r="A259" s="26" t="inlineStr">
        <is>
          <t>TM-PRP-03-02</t>
        </is>
      </c>
      <c r="B259" s="26" t="inlineStr">
        <is>
          <t>Top-ups, Vouchers &amp; Bill Payments</t>
        </is>
      </c>
      <c r="C259" s="26" t="inlineStr">
        <is>
          <t>PRP-03</t>
        </is>
      </c>
      <c r="D259" s="26" t="inlineStr">
        <is>
          <t>Bill payments for many unrelated accounts</t>
        </is>
      </c>
      <c r="E259" s="26" t="inlineStr">
        <is>
          <t>Negative</t>
        </is>
      </c>
      <c r="F259" s="26" t="inlineStr">
        <is>
          <t>Pays own 3 bills</t>
        </is>
      </c>
      <c r="G259" s="26" t="inlineStr">
        <is>
          <t>No alert</t>
        </is>
      </c>
      <c r="H259" s="26" t="inlineStr">
        <is>
          <t>Low</t>
        </is>
      </c>
      <c r="I259" s="26" t="inlineStr">
        <is>
          <t>P3</t>
        </is>
      </c>
      <c r="J259" s="28" t="inlineStr">
        <is>
          <t>Pass</t>
        </is>
      </c>
      <c r="K259" s="29" t="inlineStr">
        <is>
          <t>Pays own 3 bills → 0 alerts.</t>
        </is>
      </c>
      <c r="L259" s="29" t="inlineStr">
        <is>
          <t>Claude (automated test suite)</t>
        </is>
      </c>
      <c r="M259" s="29" t="inlineStr">
        <is>
          <t>2026-10-15</t>
        </is>
      </c>
      <c r="N259" s="29" t="n"/>
      <c r="O259" s="29" t="inlineStr">
        <is>
          <t>Automated: CrossBorderPrepaidTests.PRP_01_to_04_prepaid_and_bills</t>
        </is>
      </c>
    </row>
    <row r="260" ht="22.35" customHeight="1" s="16">
      <c r="A260" s="26" t="inlineStr">
        <is>
          <t>TM-PRP-04-01</t>
        </is>
      </c>
      <c r="B260" s="26" t="inlineStr">
        <is>
          <t>Top-ups, Vouchers &amp; Bill Payments</t>
        </is>
      </c>
      <c r="C260" s="26" t="inlineStr">
        <is>
          <t>PRP-04</t>
        </is>
      </c>
      <c r="D260" s="26" t="inlineStr">
        <is>
          <t>Prepaid card loading and immediate ATM withdrawal abroad</t>
        </is>
      </c>
      <c r="E260" s="26" t="inlineStr">
        <is>
          <t>Positive</t>
        </is>
      </c>
      <c r="F260" s="26" t="inlineStr">
        <is>
          <t>Loads 1,000, withdraws abroad 4 hours later</t>
        </is>
      </c>
      <c r="G260" s="26" t="inlineStr">
        <is>
          <t>Alert raised</t>
        </is>
      </c>
      <c r="H260" s="26" t="inlineStr">
        <is>
          <t>High</t>
        </is>
      </c>
      <c r="I260" s="26" t="inlineStr">
        <is>
          <t>P2</t>
        </is>
      </c>
      <c r="J260" s="28" t="inlineStr">
        <is>
          <t>Pass</t>
        </is>
      </c>
      <c r="K260" s="29" t="inlineStr">
        <is>
          <t>Loads 1,000, ATM withdrawal in TR 4 h later → 1 alert.</t>
        </is>
      </c>
      <c r="L260" s="29" t="inlineStr">
        <is>
          <t>Claude (automated test suite)</t>
        </is>
      </c>
      <c r="M260" s="29" t="inlineStr">
        <is>
          <t>2026-10-15</t>
        </is>
      </c>
      <c r="N260" s="29" t="n"/>
      <c r="O260" s="29" t="inlineStr">
        <is>
          <t>Automated: CrossBorderPrepaidTests.PRP_01_to_04_prepaid_and_bills</t>
        </is>
      </c>
    </row>
    <row r="261" ht="22.35" customHeight="1" s="16">
      <c r="A261" s="26" t="inlineStr">
        <is>
          <t>TM-PRP-04-02</t>
        </is>
      </c>
      <c r="B261" s="26" t="inlineStr">
        <is>
          <t>Top-ups, Vouchers &amp; Bill Payments</t>
        </is>
      </c>
      <c r="C261" s="26" t="inlineStr">
        <is>
          <t>PRP-04</t>
        </is>
      </c>
      <c r="D261" s="26" t="inlineStr">
        <is>
          <t>Prepaid card loading and immediate ATM withdrawal abroad</t>
        </is>
      </c>
      <c r="E261" s="26" t="inlineStr">
        <is>
          <t>Negative</t>
        </is>
      </c>
      <c r="F261" s="26" t="inlineStr">
        <is>
          <t>Domestic purchases</t>
        </is>
      </c>
      <c r="G261" s="26" t="inlineStr">
        <is>
          <t>No alert</t>
        </is>
      </c>
      <c r="H261" s="26" t="inlineStr">
        <is>
          <t>High</t>
        </is>
      </c>
      <c r="I261" s="26" t="inlineStr">
        <is>
          <t>P2</t>
        </is>
      </c>
      <c r="J261" s="28" t="inlineStr">
        <is>
          <t>Pass</t>
        </is>
      </c>
      <c r="K261" s="29" t="inlineStr">
        <is>
          <t>Load followed by domestic purchases → 0 alerts.</t>
        </is>
      </c>
      <c r="L261" s="29" t="inlineStr">
        <is>
          <t>Claude (automated test suite)</t>
        </is>
      </c>
      <c r="M261" s="29" t="inlineStr">
        <is>
          <t>2026-10-15</t>
        </is>
      </c>
      <c r="N261" s="29" t="n"/>
      <c r="O261" s="29" t="inlineStr">
        <is>
          <t>Automated: CrossBorderPrepaidTests.PRP_01_to_04_prepaid_and_bills</t>
        </is>
      </c>
    </row>
    <row r="262" ht="22.35" customHeight="1" s="16">
      <c r="A262" s="26" t="inlineStr">
        <is>
          <t>TM-TF-01-01</t>
        </is>
      </c>
      <c r="B262" s="26" t="inlineStr">
        <is>
          <t>Terrorist Financing Indicators</t>
        </is>
      </c>
      <c r="C262" s="26" t="inlineStr">
        <is>
          <t>TF-01</t>
        </is>
      </c>
      <c r="D262" s="26" t="inlineStr">
        <is>
          <t>Small transfers to conflict-adjacent areas</t>
        </is>
      </c>
      <c r="E262" s="26" t="inlineStr">
        <is>
          <t>Positive</t>
        </is>
      </c>
      <c r="F262" s="26" t="inlineStr">
        <is>
          <t>6 transfers of 100 to beneficiaries in a configured high-risk area</t>
        </is>
      </c>
      <c r="G262" s="26" t="inlineStr">
        <is>
          <t>Alert raised</t>
        </is>
      </c>
      <c r="H262" s="26" t="inlineStr">
        <is>
          <t>High</t>
        </is>
      </c>
      <c r="I262" s="26" t="inlineStr">
        <is>
          <t>P1</t>
        </is>
      </c>
      <c r="J262" s="28" t="inlineStr">
        <is>
          <t>Pass</t>
        </is>
      </c>
      <c r="K262" s="29" t="inlineStr">
        <is>
          <t>6 transfers of 100 to a configured high-risk area → 1 alert.</t>
        </is>
      </c>
      <c r="L262" s="29" t="inlineStr">
        <is>
          <t>Claude (automated test suite)</t>
        </is>
      </c>
      <c r="M262" s="29" t="inlineStr">
        <is>
          <t>2026-10-15</t>
        </is>
      </c>
      <c r="N262" s="29" t="n"/>
      <c r="O262" s="29" t="inlineStr">
        <is>
          <t>Automated: TerroristFinancingSanctionsTests.TF_01_small_transfers_to_tf_areas</t>
        </is>
      </c>
    </row>
    <row r="263" ht="22.35" customHeight="1" s="16">
      <c r="A263" s="26" t="inlineStr">
        <is>
          <t>TM-TF-01-02</t>
        </is>
      </c>
      <c r="B263" s="26" t="inlineStr">
        <is>
          <t>Terrorist Financing Indicators</t>
        </is>
      </c>
      <c r="C263" s="26" t="inlineStr">
        <is>
          <t>TF-01</t>
        </is>
      </c>
      <c r="D263" s="26" t="inlineStr">
        <is>
          <t>Small transfers to conflict-adjacent areas</t>
        </is>
      </c>
      <c r="E263" s="26" t="inlineStr">
        <is>
          <t>Negative</t>
        </is>
      </c>
      <c r="F263" s="26" t="inlineStr">
        <is>
          <t>1 transfer</t>
        </is>
      </c>
      <c r="G263" s="26" t="inlineStr">
        <is>
          <t>No alert</t>
        </is>
      </c>
      <c r="H263" s="26" t="inlineStr">
        <is>
          <t>High</t>
        </is>
      </c>
      <c r="I263" s="26" t="inlineStr">
        <is>
          <t>P1</t>
        </is>
      </c>
      <c r="J263" s="28" t="inlineStr">
        <is>
          <t>Pass</t>
        </is>
      </c>
      <c r="K263" s="29" t="inlineStr">
        <is>
          <t>1 transfer → 0 alerts.</t>
        </is>
      </c>
      <c r="L263" s="29" t="inlineStr">
        <is>
          <t>Claude (automated test suite)</t>
        </is>
      </c>
      <c r="M263" s="29" t="inlineStr">
        <is>
          <t>2026-10-15</t>
        </is>
      </c>
      <c r="N263" s="29" t="n"/>
      <c r="O263" s="29" t="inlineStr">
        <is>
          <t>Automated: TerroristFinancingSanctionsTests.TF_01_small_transfers_to_tf_areas</t>
        </is>
      </c>
    </row>
    <row r="264" ht="22.35" customHeight="1" s="16">
      <c r="A264" s="26" t="inlineStr">
        <is>
          <t>TM-TF-02-01</t>
        </is>
      </c>
      <c r="B264" s="26" t="inlineStr">
        <is>
          <t>Terrorist Financing Indicators</t>
        </is>
      </c>
      <c r="C264" s="26" t="inlineStr">
        <is>
          <t>TF-02</t>
        </is>
      </c>
      <c r="D264" s="26" t="inlineStr">
        <is>
          <t>Crowdfunding collection pattern</t>
        </is>
      </c>
      <c r="E264" s="26" t="inlineStr">
        <is>
          <t>Positive</t>
        </is>
      </c>
      <c r="F264" s="26" t="inlineStr">
        <is>
          <t>40 senders send 5–20 with remarks 'تبرع' to an individual wallet</t>
        </is>
      </c>
      <c r="G264" s="26" t="inlineStr">
        <is>
          <t>Alert raised</t>
        </is>
      </c>
      <c r="H264" s="26" t="inlineStr">
        <is>
          <t>High</t>
        </is>
      </c>
      <c r="I264" s="26" t="inlineStr">
        <is>
          <t>P1</t>
        </is>
      </c>
      <c r="J264" s="28" t="inlineStr">
        <is>
          <t>Pass</t>
        </is>
      </c>
      <c r="K264" s="29" t="inlineStr">
        <is>
          <t>40 senders send 5–20 with remarks 'تبرع' to an individual → 1 alert.</t>
        </is>
      </c>
      <c r="L264" s="29" t="inlineStr">
        <is>
          <t>Claude (automated test suite)</t>
        </is>
      </c>
      <c r="M264" s="29" t="inlineStr">
        <is>
          <t>2026-10-15</t>
        </is>
      </c>
      <c r="N264" s="29" t="n"/>
      <c r="O264" s="29" t="inlineStr">
        <is>
          <t>Automated: TerroristFinancingSanctionsTests.TF_02_and_03_crowdfunding_and_npo</t>
        </is>
      </c>
    </row>
    <row r="265" ht="22.35" customHeight="1" s="16">
      <c r="A265" s="26" t="inlineStr">
        <is>
          <t>TM-TF-02-02</t>
        </is>
      </c>
      <c r="B265" s="26" t="inlineStr">
        <is>
          <t>Terrorist Financing Indicators</t>
        </is>
      </c>
      <c r="C265" s="26" t="inlineStr">
        <is>
          <t>TF-02</t>
        </is>
      </c>
      <c r="D265" s="26" t="inlineStr">
        <is>
          <t>Crowdfunding collection pattern</t>
        </is>
      </c>
      <c r="E265" s="26" t="inlineStr">
        <is>
          <t>Negative</t>
        </is>
      </c>
      <c r="F265" s="26" t="inlineStr">
        <is>
          <t>Registered NPO wallet with approved profile</t>
        </is>
      </c>
      <c r="G265" s="26" t="inlineStr">
        <is>
          <t>Uses NPO thresholds</t>
        </is>
      </c>
      <c r="H265" s="26" t="inlineStr">
        <is>
          <t>High</t>
        </is>
      </c>
      <c r="I265" s="26" t="inlineStr">
        <is>
          <t>P1</t>
        </is>
      </c>
      <c r="J265" s="28" t="inlineStr">
        <is>
          <t>Pass</t>
        </is>
      </c>
      <c r="K265" s="29" t="inlineStr">
        <is>
          <t>Approved NPO (dynamic field TM_NPO_APPROVED) with the same pattern → 0 alerts; NPO threshold (500 donors) applied.</t>
        </is>
      </c>
      <c r="L265" s="29" t="inlineStr">
        <is>
          <t>Claude (automated test suite)</t>
        </is>
      </c>
      <c r="M265" s="29" t="inlineStr">
        <is>
          <t>2026-10-15</t>
        </is>
      </c>
      <c r="N265" s="29" t="n"/>
      <c r="O265" s="29" t="inlineStr">
        <is>
          <t>Automated: TerroristFinancingSanctionsTests.TF_02_and_03_crowdfunding_and_npo</t>
        </is>
      </c>
    </row>
    <row r="266" ht="22.35" customHeight="1" s="16">
      <c r="A266" s="26" t="inlineStr">
        <is>
          <t>TM-TF-03-01</t>
        </is>
      </c>
      <c r="B266" s="26" t="inlineStr">
        <is>
          <t>Terrorist Financing Indicators</t>
        </is>
      </c>
      <c r="C266" s="26" t="inlineStr">
        <is>
          <t>TF-03</t>
        </is>
      </c>
      <c r="D266" s="26" t="inlineStr">
        <is>
          <t>NPO funds to individuals abroad</t>
        </is>
      </c>
      <c r="E266" s="26" t="inlineStr">
        <is>
          <t>Positive</t>
        </is>
      </c>
      <c r="F266" s="26" t="inlineStr">
        <is>
          <t>Charity wallet sends 2,000 to individuals abroad</t>
        </is>
      </c>
      <c r="G266" s="26" t="inlineStr">
        <is>
          <t>Alert raised</t>
        </is>
      </c>
      <c r="H266" s="26" t="inlineStr">
        <is>
          <t>High</t>
        </is>
      </c>
      <c r="I266" s="26" t="inlineStr">
        <is>
          <t>P2</t>
        </is>
      </c>
      <c r="J266" s="28" t="inlineStr">
        <is>
          <t>Pass</t>
        </is>
      </c>
      <c r="K266" s="29" t="inlineStr">
        <is>
          <t>Charity wallet sends 2,000 to recipients in SY → 1 alert.</t>
        </is>
      </c>
      <c r="L266" s="29" t="inlineStr">
        <is>
          <t>Claude (automated test suite)</t>
        </is>
      </c>
      <c r="M266" s="29" t="inlineStr">
        <is>
          <t>2026-10-15</t>
        </is>
      </c>
      <c r="N266" s="29" t="n"/>
      <c r="O266" s="29" t="inlineStr">
        <is>
          <t>Automated: TerroristFinancingSanctionsTests.TF_02_and_03_crowdfunding_and_npo. Note: the counterparty being an individual (vs entity) is not checkable; configured on destination country only.</t>
        </is>
      </c>
    </row>
    <row r="267" ht="22.35" customHeight="1" s="16">
      <c r="A267" s="26" t="inlineStr">
        <is>
          <t>TM-TF-03-02</t>
        </is>
      </c>
      <c r="B267" s="26" t="inlineStr">
        <is>
          <t>Terrorist Financing Indicators</t>
        </is>
      </c>
      <c r="C267" s="26" t="inlineStr">
        <is>
          <t>TF-03</t>
        </is>
      </c>
      <c r="D267" s="26" t="inlineStr">
        <is>
          <t>NPO funds to individuals abroad</t>
        </is>
      </c>
      <c r="E267" s="26" t="inlineStr">
        <is>
          <t>Negative</t>
        </is>
      </c>
      <c r="F267" s="26" t="inlineStr">
        <is>
          <t>Payments to registered suppliers</t>
        </is>
      </c>
      <c r="G267" s="26" t="inlineStr">
        <is>
          <t>No alert</t>
        </is>
      </c>
      <c r="H267" s="26" t="inlineStr">
        <is>
          <t>High</t>
        </is>
      </c>
      <c r="I267" s="26" t="inlineStr">
        <is>
          <t>P2</t>
        </is>
      </c>
      <c r="J267" s="28" t="inlineStr">
        <is>
          <t>Pass</t>
        </is>
      </c>
      <c r="K267" s="29" t="inlineStr">
        <is>
          <t>Charity pays domestic suppliers → 0 alerts.</t>
        </is>
      </c>
      <c r="L267" s="29" t="inlineStr">
        <is>
          <t>Claude (automated test suite)</t>
        </is>
      </c>
      <c r="M267" s="29" t="inlineStr">
        <is>
          <t>2026-10-15</t>
        </is>
      </c>
      <c r="N267" s="29" t="n"/>
      <c r="O267" s="29" t="inlineStr">
        <is>
          <t>Automated: TerroristFinancingSanctionsTests.TF_02_and_03_crowdfunding_and_npo</t>
        </is>
      </c>
    </row>
    <row r="268" ht="22.35" customHeight="1" s="16">
      <c r="A268" s="26" t="inlineStr">
        <is>
          <t>TM-TF-04-01</t>
        </is>
      </c>
      <c r="B268" s="26" t="inlineStr">
        <is>
          <t>Terrorist Financing Indicators</t>
        </is>
      </c>
      <c r="C268" s="26" t="inlineStr">
        <is>
          <t>TF-04</t>
        </is>
      </c>
      <c r="D268" s="26" t="inlineStr">
        <is>
          <t>Sudden liquidation before travel</t>
        </is>
      </c>
      <c r="E268" s="26" t="inlineStr">
        <is>
          <t>Positive</t>
        </is>
      </c>
      <c r="F268" s="26" t="inlineStr">
        <is>
          <t>Empties 4,000 balance and remits abroad within 2 days</t>
        </is>
      </c>
      <c r="G268" s="26" t="inlineStr">
        <is>
          <t>Alert raised</t>
        </is>
      </c>
      <c r="H268" s="26" t="inlineStr">
        <is>
          <t>Medium</t>
        </is>
      </c>
      <c r="I268" s="26" t="inlineStr">
        <is>
          <t>P2</t>
        </is>
      </c>
      <c r="J268" s="30" t="inlineStr">
        <is>
          <t>Blocked</t>
        </is>
      </c>
      <c r="K268" s="29" t="inlineStr">
        <is>
          <t>Capability gap — Balances are not available (withdrawal of ≥ P% of balance) and dormancy cannot be combined with a cross-border step sequence. Closest rule definition rejected by the rule validator: $.condition.field: Unknown field 'wallet.balanceWithdrawnPct': not present in the data-source registry..</t>
        </is>
      </c>
      <c r="L268" s="29" t="inlineStr">
        <is>
          <t>Claude (automated test suite)</t>
        </is>
      </c>
      <c r="M268" s="29" t="inlineStr">
        <is>
          <t>2026-10-15</t>
        </is>
      </c>
      <c r="N268" s="29" t="inlineStr">
        <is>
          <t>GAP-TF-04</t>
        </is>
      </c>
      <c r="O268" s="29" t="inlineStr">
        <is>
          <t>Automated: Scenario_not_configurable (rule validator evidence)</t>
        </is>
      </c>
    </row>
    <row r="269" ht="22.35" customHeight="1" s="16">
      <c r="A269" s="26" t="inlineStr">
        <is>
          <t>TM-TF-04-02</t>
        </is>
      </c>
      <c r="B269" s="26" t="inlineStr">
        <is>
          <t>Terrorist Financing Indicators</t>
        </is>
      </c>
      <c r="C269" s="26" t="inlineStr">
        <is>
          <t>TF-04</t>
        </is>
      </c>
      <c r="D269" s="26" t="inlineStr">
        <is>
          <t>Sudden liquidation before travel</t>
        </is>
      </c>
      <c r="E269" s="26" t="inlineStr">
        <is>
          <t>Negative</t>
        </is>
      </c>
      <c r="F269" s="26" t="inlineStr">
        <is>
          <t>Partial withdrawal</t>
        </is>
      </c>
      <c r="G269" s="26" t="inlineStr">
        <is>
          <t>No alert</t>
        </is>
      </c>
      <c r="H269" s="26" t="inlineStr">
        <is>
          <t>Medium</t>
        </is>
      </c>
      <c r="I269" s="26" t="inlineStr">
        <is>
          <t>P2</t>
        </is>
      </c>
      <c r="J269" s="30" t="inlineStr">
        <is>
          <t>Blocked</t>
        </is>
      </c>
      <c r="K269" s="29" t="inlineStr">
        <is>
          <t>Capability gap — Balances are not available (withdrawal of ≥ P% of balance) and dormancy cannot be combined with a cross-border step sequence. Closest rule definition rejected by the rule validator: $.condition.field: Unknown field 'wallet.balanceWithdrawnPct': not present in the data-source registry..</t>
        </is>
      </c>
      <c r="L269" s="29" t="inlineStr">
        <is>
          <t>Claude (automated test suite)</t>
        </is>
      </c>
      <c r="M269" s="29" t="inlineStr">
        <is>
          <t>2026-10-15</t>
        </is>
      </c>
      <c r="N269" s="29" t="inlineStr">
        <is>
          <t>GAP-TF-04</t>
        </is>
      </c>
      <c r="O269" s="29" t="inlineStr">
        <is>
          <t>Automated: Scenario_not_configurable (rule validator evidence)</t>
        </is>
      </c>
    </row>
    <row r="270" ht="22.35" customHeight="1" s="16">
      <c r="A270" s="26" t="inlineStr">
        <is>
          <t>TM-SAN-01-01</t>
        </is>
      </c>
      <c r="B270" s="26" t="inlineStr">
        <is>
          <t>Sanctions &amp; High-risk Counterparties</t>
        </is>
      </c>
      <c r="C270" s="26" t="inlineStr">
        <is>
          <t>SAN-01</t>
        </is>
      </c>
      <c r="D270" s="26" t="inlineStr">
        <is>
          <t>Counterparty name matches sanctions list</t>
        </is>
      </c>
      <c r="E270" s="26" t="inlineStr">
        <is>
          <t>Positive</t>
        </is>
      </c>
      <c r="F270" s="26" t="inlineStr">
        <is>
          <t>Transfer to beneficiary 'Mohammad Al-Xyz' matching a listed name at score 92</t>
        </is>
      </c>
      <c r="G270" s="26" t="inlineStr">
        <is>
          <t>Real-time Hold; Critical alert</t>
        </is>
      </c>
      <c r="H270" s="26" t="inlineStr">
        <is>
          <t>Critical</t>
        </is>
      </c>
      <c r="I270" s="26" t="inlineStr">
        <is>
          <t>P1</t>
        </is>
      </c>
      <c r="J270" s="28" t="inlineStr">
        <is>
          <t>Pass</t>
        </is>
      </c>
      <c r="K270" s="29" t="inlineStr">
        <is>
          <t>Beneficiary fuzzy-matches a mandatory sanctions entry → real-time Reject (["SANCTIONS_NAME_MATCH"]) before execution and alert(s) with severity [Critical].</t>
        </is>
      </c>
      <c r="L270" s="29" t="inlineStr">
        <is>
          <t>Claude (automated test suite)</t>
        </is>
      </c>
      <c r="M270" s="29" t="inlineStr">
        <is>
          <t>2026-10-15</t>
        </is>
      </c>
      <c r="N270" s="29" t="inlineStr">
        <is>
          <t>DEF-TM-07 (fixed)</t>
        </is>
      </c>
      <c r="O270" s="29" t="inlineStr">
        <is>
          <t>Automated: TerroristFinancingSanctionsTests.SAN_01_name_match. Note: the score reached the reject threshold (0.95), so the decision is Reject rather than Hold; a score between 0.85 and 0.95 gives Hold.. Failed in the first execution (DEF-TM-07: Real-time list hits created no AML alert); fixed: Real-time list matches raise Critical/High alerts; re-tested 2026-10-15.</t>
        </is>
      </c>
    </row>
    <row r="271" ht="22.35" customHeight="1" s="16">
      <c r="A271" s="26" t="inlineStr">
        <is>
          <t>TM-SAN-01-02</t>
        </is>
      </c>
      <c r="B271" s="26" t="inlineStr">
        <is>
          <t>Sanctions &amp; High-risk Counterparties</t>
        </is>
      </c>
      <c r="C271" s="26" t="inlineStr">
        <is>
          <t>SAN-01</t>
        </is>
      </c>
      <c r="D271" s="26" t="inlineStr">
        <is>
          <t>Counterparty name matches sanctions list</t>
        </is>
      </c>
      <c r="E271" s="26" t="inlineStr">
        <is>
          <t>Negative</t>
        </is>
      </c>
      <c r="F271" s="26" t="inlineStr">
        <is>
          <t>Score 60</t>
        </is>
      </c>
      <c r="G271" s="26" t="inlineStr">
        <is>
          <t>No alert</t>
        </is>
      </c>
      <c r="H271" s="26" t="inlineStr">
        <is>
          <t>Critical</t>
        </is>
      </c>
      <c r="I271" s="26" t="inlineStr">
        <is>
          <t>P1</t>
        </is>
      </c>
      <c r="J271" s="28" t="inlineStr">
        <is>
          <t>Pass</t>
        </is>
      </c>
      <c r="K271" s="29" t="inlineStr">
        <is>
          <t>Low-similarity name → Allow (["NO_RISK_INDICATORS"]).</t>
        </is>
      </c>
      <c r="L271" s="29" t="inlineStr">
        <is>
          <t>Claude (automated test suite)</t>
        </is>
      </c>
      <c r="M271" s="29" t="inlineStr">
        <is>
          <t>2026-10-15</t>
        </is>
      </c>
      <c r="N271" s="29" t="n"/>
      <c r="O271" s="29" t="inlineStr">
        <is>
          <t>Automated: TerroristFinancingSanctionsTests.SAN_01_name_match</t>
        </is>
      </c>
    </row>
    <row r="272" ht="22.35" customHeight="1" s="16">
      <c r="A272" s="26" t="inlineStr">
        <is>
          <t>TM-SAN-01-03</t>
        </is>
      </c>
      <c r="B272" s="26" t="inlineStr">
        <is>
          <t>Sanctions &amp; High-risk Counterparties</t>
        </is>
      </c>
      <c r="C272" s="26" t="inlineStr">
        <is>
          <t>SAN-01</t>
        </is>
      </c>
      <c r="D272" s="26" t="inlineStr">
        <is>
          <t>Counterparty name matches sanctions list</t>
        </is>
      </c>
      <c r="E272" s="26" t="inlineStr">
        <is>
          <t>Edge</t>
        </is>
      </c>
      <c r="F272" s="26" t="inlineStr">
        <is>
          <t>Arabic beneficiary name vs Latin list entry</t>
        </is>
      </c>
      <c r="G272" s="26" t="inlineStr">
        <is>
          <t>Match found via transliteration</t>
        </is>
      </c>
      <c r="H272" s="26" t="inlineStr">
        <is>
          <t>Critical</t>
        </is>
      </c>
      <c r="I272" s="26" t="inlineStr">
        <is>
          <t>P1</t>
        </is>
      </c>
      <c r="J272" s="28" t="inlineStr">
        <is>
          <t>Pass</t>
        </is>
      </c>
      <c r="K272" s="29" t="inlineStr">
        <is>
          <t>Arabic-script beneficiary vs Latin list entry → Reject (["SANCTIONS_NAME_MATCH"]).</t>
        </is>
      </c>
      <c r="L272" s="29" t="inlineStr">
        <is>
          <t>Claude (automated test suite)</t>
        </is>
      </c>
      <c r="M272" s="29" t="inlineStr">
        <is>
          <t>2026-10-15</t>
        </is>
      </c>
      <c r="N272" s="29" t="n"/>
      <c r="O272" s="29" t="inlineStr">
        <is>
          <t>Automated: TerroristFinancingSanctionsTests.SAN_01_name_match</t>
        </is>
      </c>
    </row>
    <row r="273" ht="22.35" customHeight="1" s="16">
      <c r="A273" s="26" t="inlineStr">
        <is>
          <t>TM-SAN-02-01</t>
        </is>
      </c>
      <c r="B273" s="26" t="inlineStr">
        <is>
          <t>Sanctions &amp; High-risk Counterparties</t>
        </is>
      </c>
      <c r="C273" s="26" t="inlineStr">
        <is>
          <t>SAN-02</t>
        </is>
      </c>
      <c r="D273" s="26" t="inlineStr">
        <is>
          <t>Keywords in payment remarks</t>
        </is>
      </c>
      <c r="E273" s="26" t="inlineStr">
        <is>
          <t>Positive</t>
        </is>
      </c>
      <c r="F273" s="26" t="inlineStr">
        <is>
          <t>Remark contains a configured weapon/terror keyword</t>
        </is>
      </c>
      <c r="G273" s="26" t="inlineStr">
        <is>
          <t>Hold for review</t>
        </is>
      </c>
      <c r="H273" s="26" t="inlineStr">
        <is>
          <t>High</t>
        </is>
      </c>
      <c r="I273" s="26" t="inlineStr">
        <is>
          <t>P1</t>
        </is>
      </c>
      <c r="J273" s="28" t="inlineStr">
        <is>
          <t>Pass</t>
        </is>
      </c>
      <c r="K273" s="29" t="inlineStr">
        <is>
          <t>Remark contains configured keyword → HoldForReview (["RULE_TMSAN02KW"]).</t>
        </is>
      </c>
      <c r="L273" s="29" t="inlineStr">
        <is>
          <t>Claude (automated test suite)</t>
        </is>
      </c>
      <c r="M273" s="29" t="inlineStr">
        <is>
          <t>2026-10-15</t>
        </is>
      </c>
      <c r="N273" s="29" t="n"/>
      <c r="O273" s="29" t="inlineStr">
        <is>
          <t>Automated: TerroristFinancingSanctionsTests.SAN_02_remarks_keywords</t>
        </is>
      </c>
    </row>
    <row r="274" ht="22.35" customHeight="1" s="16">
      <c r="A274" s="26" t="inlineStr">
        <is>
          <t>TM-SAN-02-02</t>
        </is>
      </c>
      <c r="B274" s="26" t="inlineStr">
        <is>
          <t>Sanctions &amp; High-risk Counterparties</t>
        </is>
      </c>
      <c r="C274" s="26" t="inlineStr">
        <is>
          <t>SAN-02</t>
        </is>
      </c>
      <c r="D274" s="26" t="inlineStr">
        <is>
          <t>Keywords in payment remarks</t>
        </is>
      </c>
      <c r="E274" s="26" t="inlineStr">
        <is>
          <t>Negative</t>
        </is>
      </c>
      <c r="F274" s="26" t="inlineStr">
        <is>
          <t>Remark 'rent October'</t>
        </is>
      </c>
      <c r="G274" s="26" t="inlineStr">
        <is>
          <t>No alert</t>
        </is>
      </c>
      <c r="H274" s="26" t="inlineStr">
        <is>
          <t>High</t>
        </is>
      </c>
      <c r="I274" s="26" t="inlineStr">
        <is>
          <t>P1</t>
        </is>
      </c>
      <c r="J274" s="28" t="inlineStr">
        <is>
          <t>Pass</t>
        </is>
      </c>
      <c r="K274" s="29" t="inlineStr">
        <is>
          <t>Remark 'rent October' → Allow.</t>
        </is>
      </c>
      <c r="L274" s="29" t="inlineStr">
        <is>
          <t>Claude (automated test suite)</t>
        </is>
      </c>
      <c r="M274" s="29" t="inlineStr">
        <is>
          <t>2026-10-15</t>
        </is>
      </c>
      <c r="N274" s="29" t="n"/>
      <c r="O274" s="29" t="inlineStr">
        <is>
          <t>Automated: TerroristFinancingSanctionsTests.SAN_02_remarks_keywords</t>
        </is>
      </c>
    </row>
    <row r="275" ht="22.35" customHeight="1" s="16">
      <c r="A275" s="26" t="inlineStr">
        <is>
          <t>TM-SAN-02-03</t>
        </is>
      </c>
      <c r="B275" s="26" t="inlineStr">
        <is>
          <t>Sanctions &amp; High-risk Counterparties</t>
        </is>
      </c>
      <c r="C275" s="26" t="inlineStr">
        <is>
          <t>SAN-02</t>
        </is>
      </c>
      <c r="D275" s="26" t="inlineStr">
        <is>
          <t>Keywords in payment remarks</t>
        </is>
      </c>
      <c r="E275" s="26" t="inlineStr">
        <is>
          <t>Edge</t>
        </is>
      </c>
      <c r="F275" s="26" t="inlineStr">
        <is>
          <t>Keyword obfuscated with spaces or diacritics</t>
        </is>
      </c>
      <c r="G275" s="26" t="inlineStr">
        <is>
          <t>Normalisation catches it</t>
        </is>
      </c>
      <c r="H275" s="26" t="inlineStr">
        <is>
          <t>High</t>
        </is>
      </c>
      <c r="I275" s="26" t="inlineStr">
        <is>
          <t>P1</t>
        </is>
      </c>
      <c r="J275" s="28" t="inlineStr">
        <is>
          <t>Pass</t>
        </is>
      </c>
      <c r="K275" s="29" t="inlineStr">
        <is>
          <t>Obfuscated 'w e a p o n' → HoldForReview; Arabic keyword with diacritics 'سِلاح' → HoldForReview (keyword matching normalises case, diacritics and letter spacing).</t>
        </is>
      </c>
      <c r="L275" s="29" t="inlineStr">
        <is>
          <t>Claude (automated test suite)</t>
        </is>
      </c>
      <c r="M275" s="29" t="inlineStr">
        <is>
          <t>2026-10-15</t>
        </is>
      </c>
      <c r="N275" s="29" t="inlineStr">
        <is>
          <t>DEF-TM-08 (fixed)</t>
        </is>
      </c>
      <c r="O275" s="29" t="inlineStr">
        <is>
          <t>Automated: TerroristFinancingSanctionsTests.SAN_02_remarks_keywords. Failed in the first execution (DEF-TM-08: Keyword matching without normalisation); fixed: contains normalises case, diacritics and letter spacing; re-tested 2026-10-15.</t>
        </is>
      </c>
    </row>
    <row r="276" ht="22.35" customHeight="1" s="16">
      <c r="A276" s="26" t="inlineStr">
        <is>
          <t>TM-SAN-03-01</t>
        </is>
      </c>
      <c r="B276" s="26" t="inlineStr">
        <is>
          <t>Sanctions &amp; High-risk Counterparties</t>
        </is>
      </c>
      <c r="C276" s="26" t="inlineStr">
        <is>
          <t>SAN-03</t>
        </is>
      </c>
      <c r="D276" s="26" t="inlineStr">
        <is>
          <t>Transaction with PEP counterparty</t>
        </is>
      </c>
      <c r="E276" s="26" t="inlineStr">
        <is>
          <t>Positive</t>
        </is>
      </c>
      <c r="F276" s="26" t="inlineStr">
        <is>
          <t>Customer sends 3,000 to a domestic PEP</t>
        </is>
      </c>
      <c r="G276" s="26" t="inlineStr">
        <is>
          <t>Alert raised</t>
        </is>
      </c>
      <c r="H276" s="26" t="inlineStr">
        <is>
          <t>Medium</t>
        </is>
      </c>
      <c r="I276" s="26" t="inlineStr">
        <is>
          <t>P2</t>
        </is>
      </c>
      <c r="J276" s="28" t="inlineStr">
        <is>
          <t>Pass</t>
        </is>
      </c>
      <c r="K276" s="29" t="inlineStr">
        <is>
          <t>Customer sends 3,000 to a domestic PEP → 1 alert (subject = the PEP counterparty; the sender is linked through the transaction).</t>
        </is>
      </c>
      <c r="L276" s="29" t="inlineStr">
        <is>
          <t>Claude (automated test suite)</t>
        </is>
      </c>
      <c r="M276" s="29" t="inlineStr">
        <is>
          <t>2026-10-15</t>
        </is>
      </c>
      <c r="N276" s="29" t="n"/>
      <c r="O276" s="29" t="inlineStr">
        <is>
          <t>Automated: TerroristFinancingSanctionsTests.SAN_03_pep_counterparty. Note: a rule cannot test the counterparty's PEP flag from the sender's perspective.</t>
        </is>
      </c>
    </row>
    <row r="277" ht="22.35" customHeight="1" s="16">
      <c r="A277" s="26" t="inlineStr">
        <is>
          <t>TM-SAN-03-02</t>
        </is>
      </c>
      <c r="B277" s="26" t="inlineStr">
        <is>
          <t>Sanctions &amp; High-risk Counterparties</t>
        </is>
      </c>
      <c r="C277" s="26" t="inlineStr">
        <is>
          <t>SAN-03</t>
        </is>
      </c>
      <c r="D277" s="26" t="inlineStr">
        <is>
          <t>Transaction with PEP counterparty</t>
        </is>
      </c>
      <c r="E277" s="26" t="inlineStr">
        <is>
          <t>Negative</t>
        </is>
      </c>
      <c r="F277" s="26" t="inlineStr">
        <is>
          <t>200 transfer</t>
        </is>
      </c>
      <c r="G277" s="26" t="inlineStr">
        <is>
          <t>No alert</t>
        </is>
      </c>
      <c r="H277" s="26" t="inlineStr">
        <is>
          <t>Medium</t>
        </is>
      </c>
      <c r="I277" s="26" t="inlineStr">
        <is>
          <t>P2</t>
        </is>
      </c>
      <c r="J277" s="28" t="inlineStr">
        <is>
          <t>Pass</t>
        </is>
      </c>
      <c r="K277" s="29" t="inlineStr">
        <is>
          <t>200 transfer to the PEP → not matched (1 transaction linked to the alert, the 3,000 transfer only).</t>
        </is>
      </c>
      <c r="L277" s="29" t="inlineStr">
        <is>
          <t>Claude (automated test suite)</t>
        </is>
      </c>
      <c r="M277" s="29" t="inlineStr">
        <is>
          <t>2026-10-15</t>
        </is>
      </c>
      <c r="N277" s="29" t="n"/>
      <c r="O277" s="29" t="inlineStr">
        <is>
          <t>Automated: TerroristFinancingSanctionsTests.SAN_03_pep_counterparty</t>
        </is>
      </c>
    </row>
    <row r="278" ht="22.35" customHeight="1" s="16">
      <c r="A278" s="26" t="inlineStr">
        <is>
          <t>TM-SAN-04-01</t>
        </is>
      </c>
      <c r="B278" s="26" t="inlineStr">
        <is>
          <t>Sanctions &amp; High-risk Counterparties</t>
        </is>
      </c>
      <c r="C278" s="26" t="inlineStr">
        <is>
          <t>SAN-04</t>
        </is>
      </c>
      <c r="D278" s="26" t="inlineStr">
        <is>
          <t>Transaction with internal watchlist party</t>
        </is>
      </c>
      <c r="E278" s="26" t="inlineStr">
        <is>
          <t>Positive</t>
        </is>
      </c>
      <c r="F278" s="26" t="inlineStr">
        <is>
          <t>Transfer to wallet of exited customer on internal list</t>
        </is>
      </c>
      <c r="G278" s="26" t="inlineStr">
        <is>
          <t>Alert raised</t>
        </is>
      </c>
      <c r="H278" s="26" t="inlineStr">
        <is>
          <t>High</t>
        </is>
      </c>
      <c r="I278" s="26" t="inlineStr">
        <is>
          <t>P1</t>
        </is>
      </c>
      <c r="J278" s="28" t="inlineStr">
        <is>
          <t>Pass</t>
        </is>
      </c>
      <c r="K278" s="29" t="inlineStr">
        <is>
          <t>Transfer to a party on the internal watchlist → real-time HoldForReview (["POTENTIAL_LIST_MATCH"]) and alert raised (severity High).</t>
        </is>
      </c>
      <c r="L278" s="29" t="inlineStr">
        <is>
          <t>Claude (automated test suite)</t>
        </is>
      </c>
      <c r="M278" s="29" t="inlineStr">
        <is>
          <t>2026-10-15</t>
        </is>
      </c>
      <c r="N278" s="29" t="inlineStr">
        <is>
          <t>DEF-TM-07 (fixed)</t>
        </is>
      </c>
      <c r="O278" s="29" t="inlineStr">
        <is>
          <t>Automated: TerroristFinancingSanctionsTests.SAN_04_internal_watchlist. Failed in the first execution (DEF-TM-07: Real-time list hits created no AML alert); fixed: Real-time list matches raise Critical/High alerts; re-tested 2026-10-15.</t>
        </is>
      </c>
    </row>
    <row r="279" ht="22.35" customHeight="1" s="16">
      <c r="A279" s="26" t="inlineStr">
        <is>
          <t>TM-SAN-04-02</t>
        </is>
      </c>
      <c r="B279" s="26" t="inlineStr">
        <is>
          <t>Sanctions &amp; High-risk Counterparties</t>
        </is>
      </c>
      <c r="C279" s="26" t="inlineStr">
        <is>
          <t>SAN-04</t>
        </is>
      </c>
      <c r="D279" s="26" t="inlineStr">
        <is>
          <t>Transaction with internal watchlist party</t>
        </is>
      </c>
      <c r="E279" s="26" t="inlineStr">
        <is>
          <t>Negative</t>
        </is>
      </c>
      <c r="F279" s="26" t="inlineStr">
        <is>
          <t>Party removed from list</t>
        </is>
      </c>
      <c r="G279" s="26" t="inlineStr">
        <is>
          <t>No alert</t>
        </is>
      </c>
      <c r="H279" s="26" t="inlineStr">
        <is>
          <t>High</t>
        </is>
      </c>
      <c r="I279" s="26" t="inlineStr">
        <is>
          <t>P1</t>
        </is>
      </c>
      <c r="J279" s="28" t="inlineStr">
        <is>
          <t>Pass</t>
        </is>
      </c>
      <c r="K279" s="29" t="inlineStr">
        <is>
          <t>Party removed from list (new list version) → Allow.</t>
        </is>
      </c>
      <c r="L279" s="29" t="inlineStr">
        <is>
          <t>Claude (automated test suite)</t>
        </is>
      </c>
      <c r="M279" s="29" t="inlineStr">
        <is>
          <t>2026-10-15</t>
        </is>
      </c>
      <c r="N279" s="29" t="n"/>
      <c r="O279" s="29" t="inlineStr">
        <is>
          <t>Automated: TerroristFinancingSanctionsTests.SAN_04_internal_watchlist</t>
        </is>
      </c>
    </row>
    <row r="280" ht="22.35" customHeight="1" s="16">
      <c r="A280" s="26" t="inlineStr">
        <is>
          <t>TM-ATO-01-01</t>
        </is>
      </c>
      <c r="B280" s="26" t="inlineStr">
        <is>
          <t>Account Takeover Overlap (FRAML)</t>
        </is>
      </c>
      <c r="C280" s="26" t="inlineStr">
        <is>
          <t>ATO-01</t>
        </is>
      </c>
      <c r="D280" s="26" t="inlineStr">
        <is>
          <t>Password reset then transfer of balance</t>
        </is>
      </c>
      <c r="E280" s="26" t="inlineStr">
        <is>
          <t>Positive</t>
        </is>
      </c>
      <c r="F280" s="26" t="inlineStr">
        <is>
          <t>Password reset 21:00; 90% of balance sent 21:20</t>
        </is>
      </c>
      <c r="G280" s="26" t="inlineStr">
        <is>
          <t>Alert raised</t>
        </is>
      </c>
      <c r="H280" s="26" t="inlineStr">
        <is>
          <t>High</t>
        </is>
      </c>
      <c r="I280" s="26" t="inlineStr">
        <is>
          <t>P1</t>
        </is>
      </c>
      <c r="J280" s="30" t="inlineStr">
        <is>
          <t>Blocked</t>
        </is>
      </c>
      <c r="K280" s="29" t="inlineStr">
        <is>
          <t>Capability gap — Password-reset events can be ingested as signals, but wallet balances are not, so 'outgoing ≥ P% of balance' cannot be evaluated. Closest rule definition rejected by the rule validator: $.condition.field: Unknown field 'event.passwordResetHoursAgo': not present in the data-source registry..</t>
        </is>
      </c>
      <c r="L280" s="29" t="inlineStr">
        <is>
          <t>Claude (automated test suite)</t>
        </is>
      </c>
      <c r="M280" s="29" t="inlineStr">
        <is>
          <t>2026-10-15</t>
        </is>
      </c>
      <c r="N280" s="29" t="inlineStr">
        <is>
          <t>GAP-ATO-01</t>
        </is>
      </c>
      <c r="O280" s="29" t="inlineStr">
        <is>
          <t>Automated: Scenario_not_configurable (rule validator evidence)</t>
        </is>
      </c>
    </row>
    <row r="281" ht="22.35" customHeight="1" s="16">
      <c r="A281" s="26" t="inlineStr">
        <is>
          <t>TM-ATO-01-02</t>
        </is>
      </c>
      <c r="B281" s="26" t="inlineStr">
        <is>
          <t>Account Takeover Overlap (FRAML)</t>
        </is>
      </c>
      <c r="C281" s="26" t="inlineStr">
        <is>
          <t>ATO-01</t>
        </is>
      </c>
      <c r="D281" s="26" t="inlineStr">
        <is>
          <t>Password reset then transfer of balance</t>
        </is>
      </c>
      <c r="E281" s="26" t="inlineStr">
        <is>
          <t>Negative</t>
        </is>
      </c>
      <c r="F281" s="26" t="inlineStr">
        <is>
          <t>Reset, no transfer</t>
        </is>
      </c>
      <c r="G281" s="26" t="inlineStr">
        <is>
          <t>No alert</t>
        </is>
      </c>
      <c r="H281" s="26" t="inlineStr">
        <is>
          <t>High</t>
        </is>
      </c>
      <c r="I281" s="26" t="inlineStr">
        <is>
          <t>P1</t>
        </is>
      </c>
      <c r="J281" s="30" t="inlineStr">
        <is>
          <t>Blocked</t>
        </is>
      </c>
      <c r="K281" s="29" t="inlineStr">
        <is>
          <t>Capability gap — Password-reset events can be ingested as signals, but wallet balances are not, so 'outgoing ≥ P% of balance' cannot be evaluated. Closest rule definition rejected by the rule validator: $.condition.field: Unknown field 'event.passwordResetHoursAgo': not present in the data-source registry..</t>
        </is>
      </c>
      <c r="L281" s="29" t="inlineStr">
        <is>
          <t>Claude (automated test suite)</t>
        </is>
      </c>
      <c r="M281" s="29" t="inlineStr">
        <is>
          <t>2026-10-15</t>
        </is>
      </c>
      <c r="N281" s="29" t="inlineStr">
        <is>
          <t>GAP-ATO-01</t>
        </is>
      </c>
      <c r="O281" s="29" t="inlineStr">
        <is>
          <t>Automated: Scenario_not_configurable (rule validator evidence)</t>
        </is>
      </c>
    </row>
    <row r="282" ht="22.35" customHeight="1" s="16">
      <c r="A282" s="26" t="inlineStr">
        <is>
          <t>TM-ATO-02-01</t>
        </is>
      </c>
      <c r="B282" s="26" t="inlineStr">
        <is>
          <t>Account Takeover Overlap (FRAML)</t>
        </is>
      </c>
      <c r="C282" s="26" t="inlineStr">
        <is>
          <t>ATO-02</t>
        </is>
      </c>
      <c r="D282" s="26" t="inlineStr">
        <is>
          <t>New beneficiary and full balance transfer</t>
        </is>
      </c>
      <c r="E282" s="26" t="inlineStr">
        <is>
          <t>Positive</t>
        </is>
      </c>
      <c r="F282" s="26" t="inlineStr">
        <is>
          <t>Adds beneficiary 10:00; sends 95% of balance 10:05</t>
        </is>
      </c>
      <c r="G282" s="26" t="inlineStr">
        <is>
          <t>Alert raised</t>
        </is>
      </c>
      <c r="H282" s="26" t="inlineStr">
        <is>
          <t>High</t>
        </is>
      </c>
      <c r="I282" s="26" t="inlineStr">
        <is>
          <t>P1</t>
        </is>
      </c>
      <c r="J282" s="30" t="inlineStr">
        <is>
          <t>Blocked</t>
        </is>
      </c>
      <c r="K282" s="29" t="inlineStr">
        <is>
          <t>Capability gap — Beneficiary-added events can be ingested as signals, but wallet balances are not, so 'transfer ≥ P% of balance' cannot be evaluated. Closest rule definition rejected by the rule validator: $.condition.field: Unknown field 'event.beneficiaryAddedMinutesAgo': not present in the data-source registry..</t>
        </is>
      </c>
      <c r="L282" s="29" t="inlineStr">
        <is>
          <t>Claude (automated test suite)</t>
        </is>
      </c>
      <c r="M282" s="29" t="inlineStr">
        <is>
          <t>2026-10-15</t>
        </is>
      </c>
      <c r="N282" s="29" t="inlineStr">
        <is>
          <t>GAP-ATO-02</t>
        </is>
      </c>
      <c r="O282" s="29" t="inlineStr">
        <is>
          <t>Automated: Scenario_not_configurable (rule validator evidence)</t>
        </is>
      </c>
    </row>
    <row r="283" ht="22.35" customHeight="1" s="16">
      <c r="A283" s="26" t="inlineStr">
        <is>
          <t>TM-ATO-02-02</t>
        </is>
      </c>
      <c r="B283" s="26" t="inlineStr">
        <is>
          <t>Account Takeover Overlap (FRAML)</t>
        </is>
      </c>
      <c r="C283" s="26" t="inlineStr">
        <is>
          <t>ATO-02</t>
        </is>
      </c>
      <c r="D283" s="26" t="inlineStr">
        <is>
          <t>New beneficiary and full balance transfer</t>
        </is>
      </c>
      <c r="E283" s="26" t="inlineStr">
        <is>
          <t>Negative</t>
        </is>
      </c>
      <c r="F283" s="26" t="inlineStr">
        <is>
          <t>Long-standing beneficiary</t>
        </is>
      </c>
      <c r="G283" s="26" t="inlineStr">
        <is>
          <t>No alert</t>
        </is>
      </c>
      <c r="H283" s="26" t="inlineStr">
        <is>
          <t>High</t>
        </is>
      </c>
      <c r="I283" s="26" t="inlineStr">
        <is>
          <t>P1</t>
        </is>
      </c>
      <c r="J283" s="30" t="inlineStr">
        <is>
          <t>Blocked</t>
        </is>
      </c>
      <c r="K283" s="29" t="inlineStr">
        <is>
          <t>Capability gap — Beneficiary-added events can be ingested as signals, but wallet balances are not, so 'transfer ≥ P% of balance' cannot be evaluated. Closest rule definition rejected by the rule validator: $.condition.field: Unknown field 'event.beneficiaryAddedMinutesAgo': not present in the data-source registry..</t>
        </is>
      </c>
      <c r="L283" s="29" t="inlineStr">
        <is>
          <t>Claude (automated test suite)</t>
        </is>
      </c>
      <c r="M283" s="29" t="inlineStr">
        <is>
          <t>2026-10-15</t>
        </is>
      </c>
      <c r="N283" s="29" t="inlineStr">
        <is>
          <t>GAP-ATO-02</t>
        </is>
      </c>
      <c r="O283" s="29" t="inlineStr">
        <is>
          <t>Automated: Scenario_not_configurable (rule validator evidence)</t>
        </is>
      </c>
    </row>
    <row r="284" ht="22.35" customHeight="1" s="16">
      <c r="A284" s="26" t="inlineStr">
        <is>
          <t>TM-ATO-03-01</t>
        </is>
      </c>
      <c r="B284" s="26" t="inlineStr">
        <is>
          <t>Account Takeover Overlap (FRAML)</t>
        </is>
      </c>
      <c r="C284" s="26" t="inlineStr">
        <is>
          <t>ATO-03</t>
        </is>
      </c>
      <c r="D284" s="26" t="inlineStr">
        <is>
          <t>Login from new country then transfer</t>
        </is>
      </c>
      <c r="E284" s="26" t="inlineStr">
        <is>
          <t>Positive</t>
        </is>
      </c>
      <c r="F284" s="26" t="inlineStr">
        <is>
          <t>First-ever login from another country, transfer 30 minutes later</t>
        </is>
      </c>
      <c r="G284" s="26" t="inlineStr">
        <is>
          <t>Alert raised</t>
        </is>
      </c>
      <c r="H284" s="26" t="inlineStr">
        <is>
          <t>Medium</t>
        </is>
      </c>
      <c r="I284" s="26" t="inlineStr">
        <is>
          <t>P2</t>
        </is>
      </c>
      <c r="J284" s="28" t="inlineStr">
        <is>
          <t>Pass</t>
        </is>
      </c>
      <c r="K284" s="29" t="inlineStr">
        <is>
          <t>First-ever login from TR, transfer 30 minutes later → 1 alert (minutesSinceEvent NewLoginCountry).</t>
        </is>
      </c>
      <c r="L284" s="29" t="inlineStr">
        <is>
          <t>Claude (automated test suite)</t>
        </is>
      </c>
      <c r="M284" s="29" t="inlineStr">
        <is>
          <t>2026-10-15</t>
        </is>
      </c>
      <c r="N284" s="29" t="n"/>
      <c r="O284" s="29" t="inlineStr">
        <is>
          <t>Automated: ExtendedCapabilityTests.MUL_03_VAG_ATO_03_counterparty_and_login. Blocked in the first execution (capability gap); executable after the rule DSL extension.</t>
        </is>
      </c>
    </row>
    <row r="285" ht="22.35" customHeight="1" s="16">
      <c r="A285" s="26" t="inlineStr">
        <is>
          <t>TM-ATO-03-02</t>
        </is>
      </c>
      <c r="B285" s="26" t="inlineStr">
        <is>
          <t>Account Takeover Overlap (FRAML)</t>
        </is>
      </c>
      <c r="C285" s="26" t="inlineStr">
        <is>
          <t>ATO-03</t>
        </is>
      </c>
      <c r="D285" s="26" t="inlineStr">
        <is>
          <t>Login from new country then transfer</t>
        </is>
      </c>
      <c r="E285" s="26" t="inlineStr">
        <is>
          <t>Negative</t>
        </is>
      </c>
      <c r="F285" s="26" t="inlineStr">
        <is>
          <t>Travel notified in profile</t>
        </is>
      </c>
      <c r="G285" s="26" t="inlineStr">
        <is>
          <t>No alert</t>
        </is>
      </c>
      <c r="H285" s="26" t="inlineStr">
        <is>
          <t>Medium</t>
        </is>
      </c>
      <c r="I285" s="26" t="inlineStr">
        <is>
          <t>P2</t>
        </is>
      </c>
      <c r="J285" s="28" t="inlineStr">
        <is>
          <t>Pass</t>
        </is>
      </c>
      <c r="K285" s="29" t="inlineStr">
        <is>
          <t>Travel notified in profile (dynamic field TM_TRAVEL_NOTIFIED) → 0 alerts.</t>
        </is>
      </c>
      <c r="L285" s="29" t="inlineStr">
        <is>
          <t>Claude (automated test suite)</t>
        </is>
      </c>
      <c r="M285" s="29" t="inlineStr">
        <is>
          <t>2026-10-15</t>
        </is>
      </c>
      <c r="N285" s="29" t="n"/>
      <c r="O285" s="29" t="inlineStr">
        <is>
          <t>Automated: ExtendedCapabilityTests.MUL_03_VAG_ATO_03_counterparty_and_login. Blocked in the first execution (capability gap); executable after the rule DSL extension.</t>
        </is>
      </c>
    </row>
    <row r="286" ht="22.35" customHeight="1" s="16">
      <c r="A286" s="26" t="inlineStr">
        <is>
          <t>TM-VAG-01-01</t>
        </is>
      </c>
      <c r="B286" s="26" t="inlineStr">
        <is>
          <t>Virtual Assets &amp; Gambling</t>
        </is>
      </c>
      <c r="C286" s="26" t="inlineStr">
        <is>
          <t>VAG-01</t>
        </is>
      </c>
      <c r="D286" s="26" t="inlineStr">
        <is>
          <t>Transfers to virtual-asset service providers</t>
        </is>
      </c>
      <c r="E286" s="26" t="inlineStr">
        <is>
          <t>Positive</t>
        </is>
      </c>
      <c r="F286" s="26" t="inlineStr">
        <is>
          <t>Customer pays 2,500 to a crypto exchange merchant</t>
        </is>
      </c>
      <c r="G286" s="26" t="inlineStr">
        <is>
          <t>Alert raised</t>
        </is>
      </c>
      <c r="H286" s="26" t="inlineStr">
        <is>
          <t>Medium</t>
        </is>
      </c>
      <c r="I286" s="26" t="inlineStr">
        <is>
          <t>P2</t>
        </is>
      </c>
      <c r="J286" s="28" t="inlineStr">
        <is>
          <t>Pass</t>
        </is>
      </c>
      <c r="K286" s="29" t="inlineStr">
        <is>
          <t>Pays 2,500 to a merchant classified VASP → 1 alert (counterparty classification as a dynamic merchant field).</t>
        </is>
      </c>
      <c r="L286" s="29" t="inlineStr">
        <is>
          <t>Claude (automated test suite)</t>
        </is>
      </c>
      <c r="M286" s="29" t="inlineStr">
        <is>
          <t>2026-10-15</t>
        </is>
      </c>
      <c r="N286" s="29" t="n"/>
      <c r="O286" s="29" t="inlineStr">
        <is>
          <t>Automated: ExtendedCapabilityTests.MUL_03_VAG_ATO_03_counterparty_and_login. Blocked in the first execution (capability gap); executable after the rule DSL extension.</t>
        </is>
      </c>
    </row>
    <row r="287" ht="22.35" customHeight="1" s="16">
      <c r="A287" s="26" t="inlineStr">
        <is>
          <t>TM-VAG-01-02</t>
        </is>
      </c>
      <c r="B287" s="26" t="inlineStr">
        <is>
          <t>Virtual Assets &amp; Gambling</t>
        </is>
      </c>
      <c r="C287" s="26" t="inlineStr">
        <is>
          <t>VAG-01</t>
        </is>
      </c>
      <c r="D287" s="26" t="inlineStr">
        <is>
          <t>Transfers to virtual-asset service providers</t>
        </is>
      </c>
      <c r="E287" s="26" t="inlineStr">
        <is>
          <t>Negative</t>
        </is>
      </c>
      <c r="F287" s="26" t="inlineStr">
        <is>
          <t>No VASP counterparties</t>
        </is>
      </c>
      <c r="G287" s="26" t="inlineStr">
        <is>
          <t>No alert</t>
        </is>
      </c>
      <c r="H287" s="26" t="inlineStr">
        <is>
          <t>Medium</t>
        </is>
      </c>
      <c r="I287" s="26" t="inlineStr">
        <is>
          <t>P2</t>
        </is>
      </c>
      <c r="J287" s="28" t="inlineStr">
        <is>
          <t>Pass</t>
        </is>
      </c>
      <c r="K287" s="29" t="inlineStr">
        <is>
          <t>No VASP counterparties → 0 alerts.</t>
        </is>
      </c>
      <c r="L287" s="29" t="inlineStr">
        <is>
          <t>Claude (automated test suite)</t>
        </is>
      </c>
      <c r="M287" s="29" t="inlineStr">
        <is>
          <t>2026-10-15</t>
        </is>
      </c>
      <c r="N287" s="29" t="n"/>
      <c r="O287" s="29" t="inlineStr">
        <is>
          <t>Automated: ExtendedCapabilityTests.MUL_03_VAG_ATO_03_counterparty_and_login. Blocked in the first execution (capability gap); executable after the rule DSL extension.</t>
        </is>
      </c>
    </row>
    <row r="288" ht="15" customHeight="1" s="16">
      <c r="A288" s="26" t="inlineStr">
        <is>
          <t>TM-VAG-02-01</t>
        </is>
      </c>
      <c r="B288" s="26" t="inlineStr">
        <is>
          <t>Virtual Assets &amp; Gambling</t>
        </is>
      </c>
      <c r="C288" s="26" t="inlineStr">
        <is>
          <t>VAG-02</t>
        </is>
      </c>
      <c r="D288" s="26" t="inlineStr">
        <is>
          <t>Gambling-related payments</t>
        </is>
      </c>
      <c r="E288" s="26" t="inlineStr">
        <is>
          <t>Positive</t>
        </is>
      </c>
      <c r="F288" s="26" t="inlineStr">
        <is>
          <t>Payments of 700 to gambling merchants</t>
        </is>
      </c>
      <c r="G288" s="26" t="inlineStr">
        <is>
          <t>Alert raised</t>
        </is>
      </c>
      <c r="H288" s="26" t="inlineStr">
        <is>
          <t>Medium</t>
        </is>
      </c>
      <c r="I288" s="26" t="inlineStr">
        <is>
          <t>P3</t>
        </is>
      </c>
      <c r="J288" s="28" t="inlineStr">
        <is>
          <t>Pass</t>
        </is>
      </c>
      <c r="K288" s="29" t="inlineStr">
        <is>
          <t>Payments of 700 to a gambling merchant → 1 alert.</t>
        </is>
      </c>
      <c r="L288" s="29" t="inlineStr">
        <is>
          <t>Claude (automated test suite)</t>
        </is>
      </c>
      <c r="M288" s="29" t="inlineStr">
        <is>
          <t>2026-10-15</t>
        </is>
      </c>
      <c r="N288" s="29" t="n"/>
      <c r="O288" s="29" t="inlineStr">
        <is>
          <t>Automated: ExtendedCapabilityTests.MUL_03_VAG_ATO_03_counterparty_and_login. Blocked in the first execution (capability gap); executable after the rule DSL extension.</t>
        </is>
      </c>
    </row>
    <row r="289" ht="15" customHeight="1" s="16">
      <c r="A289" s="26" t="inlineStr">
        <is>
          <t>TM-VAG-02-02</t>
        </is>
      </c>
      <c r="B289" s="26" t="inlineStr">
        <is>
          <t>Virtual Assets &amp; Gambling</t>
        </is>
      </c>
      <c r="C289" s="26" t="inlineStr">
        <is>
          <t>VAG-02</t>
        </is>
      </c>
      <c r="D289" s="26" t="inlineStr">
        <is>
          <t>Gambling-related payments</t>
        </is>
      </c>
      <c r="E289" s="26" t="inlineStr">
        <is>
          <t>Negative</t>
        </is>
      </c>
      <c r="F289" s="26" t="inlineStr">
        <is>
          <t>No gambling MCC</t>
        </is>
      </c>
      <c r="G289" s="26" t="inlineStr">
        <is>
          <t>No alert</t>
        </is>
      </c>
      <c r="H289" s="26" t="inlineStr">
        <is>
          <t>Medium</t>
        </is>
      </c>
      <c r="I289" s="26" t="inlineStr">
        <is>
          <t>P3</t>
        </is>
      </c>
      <c r="J289" s="28" t="inlineStr">
        <is>
          <t>Pass</t>
        </is>
      </c>
      <c r="K289" s="29" t="inlineStr">
        <is>
          <t>No gambling merchants → 0 alerts.</t>
        </is>
      </c>
      <c r="L289" s="29" t="inlineStr">
        <is>
          <t>Claude (automated test suite)</t>
        </is>
      </c>
      <c r="M289" s="29" t="inlineStr">
        <is>
          <t>2026-10-15</t>
        </is>
      </c>
      <c r="N289" s="29" t="n"/>
      <c r="O289" s="29" t="inlineStr">
        <is>
          <t>Automated: ExtendedCapabilityTests.MUL_03_VAG_ATO_03_counterparty_and_login. Blocked in the first execution (capability gap); executable after the rule DSL extension.</t>
        </is>
      </c>
    </row>
    <row r="290" ht="22.35" customHeight="1" s="16">
      <c r="A290" s="26" t="inlineStr">
        <is>
          <t>TM-VAG-03-01</t>
        </is>
      </c>
      <c r="B290" s="26" t="inlineStr">
        <is>
          <t>Virtual Assets &amp; Gambling</t>
        </is>
      </c>
      <c r="C290" s="26" t="inlineStr">
        <is>
          <t>VAG-03</t>
        </is>
      </c>
      <c r="D290" s="26" t="inlineStr">
        <is>
          <t>Inflows from VASP followed by cash-out</t>
        </is>
      </c>
      <c r="E290" s="26" t="inlineStr">
        <is>
          <t>Positive</t>
        </is>
      </c>
      <c r="F290" s="26" t="inlineStr">
        <is>
          <t>Receives 2,000 from exchange, cashes out 1,800</t>
        </is>
      </c>
      <c r="G290" s="26" t="inlineStr">
        <is>
          <t>Alert raised</t>
        </is>
      </c>
      <c r="H290" s="26" t="inlineStr">
        <is>
          <t>High</t>
        </is>
      </c>
      <c r="I290" s="26" t="inlineStr">
        <is>
          <t>P2</t>
        </is>
      </c>
      <c r="J290" s="28" t="inlineStr">
        <is>
          <t>Pass</t>
        </is>
      </c>
      <c r="K290" s="29" t="inlineStr">
        <is>
          <t>Receives 2,000 from the exchange, cashes out 1,800 three hours later → 1 alert.</t>
        </is>
      </c>
      <c r="L290" s="29" t="inlineStr">
        <is>
          <t>Claude (automated test suite)</t>
        </is>
      </c>
      <c r="M290" s="29" t="inlineStr">
        <is>
          <t>2026-10-15</t>
        </is>
      </c>
      <c r="N290" s="29" t="n"/>
      <c r="O290" s="29" t="inlineStr">
        <is>
          <t>Automated: ExtendedCapabilityTests.MUL_03_VAG_ATO_03_counterparty_and_login. Blocked in the first execution (capability gap); executable after the rule DSL extension.</t>
        </is>
      </c>
    </row>
    <row r="291" ht="22.35" customHeight="1" s="16">
      <c r="A291" s="26" t="inlineStr">
        <is>
          <t>TM-VAG-03-02</t>
        </is>
      </c>
      <c r="B291" s="26" t="inlineStr">
        <is>
          <t>Virtual Assets &amp; Gambling</t>
        </is>
      </c>
      <c r="C291" s="26" t="inlineStr">
        <is>
          <t>VAG-03</t>
        </is>
      </c>
      <c r="D291" s="26" t="inlineStr">
        <is>
          <t>Inflows from VASP followed by cash-out</t>
        </is>
      </c>
      <c r="E291" s="26" t="inlineStr">
        <is>
          <t>Negative</t>
        </is>
      </c>
      <c r="F291" s="26" t="inlineStr">
        <is>
          <t>Funds kept</t>
        </is>
      </c>
      <c r="G291" s="26" t="inlineStr">
        <is>
          <t>No alert</t>
        </is>
      </c>
      <c r="H291" s="26" t="inlineStr">
        <is>
          <t>High</t>
        </is>
      </c>
      <c r="I291" s="26" t="inlineStr">
        <is>
          <t>P2</t>
        </is>
      </c>
      <c r="J291" s="28" t="inlineStr">
        <is>
          <t>Pass</t>
        </is>
      </c>
      <c r="K291" s="29" t="inlineStr">
        <is>
          <t>Funds kept → 0 alerts.</t>
        </is>
      </c>
      <c r="L291" s="29" t="inlineStr">
        <is>
          <t>Claude (automated test suite)</t>
        </is>
      </c>
      <c r="M291" s="29" t="inlineStr">
        <is>
          <t>2026-10-15</t>
        </is>
      </c>
      <c r="N291" s="29" t="n"/>
      <c r="O291" s="29" t="inlineStr">
        <is>
          <t>Automated: ExtendedCapabilityTests.MUL_03_VAG_ATO_03_counterparty_and_login. Blocked in the first execution (capability gap); executable after the rule DSL extension.</t>
        </is>
      </c>
    </row>
    <row r="292" ht="22.35" customHeight="1" s="16">
      <c r="A292" s="26" t="inlineStr">
        <is>
          <t>TM-ENG-01-01</t>
        </is>
      </c>
      <c r="B292" s="26" t="inlineStr">
        <is>
          <t>Engine Edge Cases (applies to all scenarios)</t>
        </is>
      </c>
      <c r="C292" s="26" t="inlineStr">
        <is>
          <t>ENG-01</t>
        </is>
      </c>
      <c r="D292" s="26" t="inlineStr">
        <is>
          <t>Status handling in aggregation</t>
        </is>
      </c>
      <c r="E292" s="26" t="inlineStr">
        <is>
          <t>Edge</t>
        </is>
      </c>
      <c r="F292" s="26" t="inlineStr">
        <is>
          <t>20 withdrawals: 15 Completed, 3 Pending, 2 Failed (N=20 rule)</t>
        </is>
      </c>
      <c r="G292" s="26" t="inlineStr">
        <is>
          <t>No alert until Pending become Completed; then re-evaluation triggers alert</t>
        </is>
      </c>
      <c r="H292" s="26" t="inlineStr">
        <is>
          <t>—</t>
        </is>
      </c>
      <c r="I292" s="26" t="inlineStr">
        <is>
          <t>P1</t>
        </is>
      </c>
      <c r="J292" s="28" t="inlineStr">
        <is>
          <t>Pass</t>
        </is>
      </c>
      <c r="K292" s="29" t="inlineStr">
        <is>
          <t>15 Completed + 3 Pending + 2 Failed → 0 alerts; after the 3 Pending became Completed (status update) and the rule re-ran → 1 alert.</t>
        </is>
      </c>
      <c r="L292" s="29" t="inlineStr">
        <is>
          <t>Claude (automated test suite)</t>
        </is>
      </c>
      <c r="M292" s="29" t="inlineStr">
        <is>
          <t>2026-10-15</t>
        </is>
      </c>
      <c r="N292" s="29" t="n"/>
      <c r="O292" s="29" t="inlineStr">
        <is>
          <t>Automated: EngineEdgeCaseTests.ENG_01_status_handling. Note: N set to 18 so that completion of the 3 pending reaches the threshold (failed never count); re-evaluation is a rule re-run (scheduled or manual), not event-driven.</t>
        </is>
      </c>
    </row>
    <row r="293" ht="22.35" customHeight="1" s="16">
      <c r="A293" s="26" t="inlineStr">
        <is>
          <t>TM-ENG-01-02</t>
        </is>
      </c>
      <c r="B293" s="26" t="inlineStr">
        <is>
          <t>Engine Edge Cases (applies to all scenarios)</t>
        </is>
      </c>
      <c r="C293" s="26" t="inlineStr">
        <is>
          <t>ENG-01</t>
        </is>
      </c>
      <c r="D293" s="26" t="inlineStr">
        <is>
          <t>Status handling in aggregation</t>
        </is>
      </c>
      <c r="E293" s="26" t="inlineStr">
        <is>
          <t>Edge</t>
        </is>
      </c>
      <c r="F293" s="26" t="inlineStr">
        <is>
          <t>Pending transaction later Cancelled</t>
        </is>
      </c>
      <c r="G293" s="26" t="inlineStr">
        <is>
          <t>Never counted</t>
        </is>
      </c>
      <c r="H293" s="26" t="inlineStr">
        <is>
          <t>—</t>
        </is>
      </c>
      <c r="I293" s="26" t="inlineStr">
        <is>
          <t>P1</t>
        </is>
      </c>
      <c r="J293" s="28" t="inlineStr">
        <is>
          <t>Pass</t>
        </is>
      </c>
      <c r="K293" s="29" t="inlineStr">
        <is>
          <t>17 Completed + 1 Pending later Cancelled (normalised status now 'Unknown') → 0 alerts; never counted.</t>
        </is>
      </c>
      <c r="L293" s="29" t="inlineStr">
        <is>
          <t>Claude (automated test suite)</t>
        </is>
      </c>
      <c r="M293" s="29" t="inlineStr">
        <is>
          <t>2026-10-15</t>
        </is>
      </c>
      <c r="N293" s="29" t="n"/>
      <c r="O293" s="29" t="inlineStr">
        <is>
          <t>Automated: EngineEdgeCaseTests.ENG_01_status_handling</t>
        </is>
      </c>
    </row>
    <row r="294" ht="22.35" customHeight="1" s="16">
      <c r="A294" s="26" t="inlineStr">
        <is>
          <t>TM-ENG-01-03</t>
        </is>
      </c>
      <c r="B294" s="26" t="inlineStr">
        <is>
          <t>Engine Edge Cases (applies to all scenarios)</t>
        </is>
      </c>
      <c r="C294" s="26" t="inlineStr">
        <is>
          <t>ENG-01</t>
        </is>
      </c>
      <c r="D294" s="26" t="inlineStr">
        <is>
          <t>Status handling in aggregation</t>
        </is>
      </c>
      <c r="E294" s="26" t="inlineStr">
        <is>
          <t>Edge</t>
        </is>
      </c>
      <c r="F294" s="26" t="inlineStr">
        <is>
          <t>Source status unknown code</t>
        </is>
      </c>
      <c r="G294" s="26" t="inlineStr">
        <is>
          <t>Normalised as Unknown; excluded and data-quality item raised</t>
        </is>
      </c>
      <c r="H294" s="26" t="inlineStr">
        <is>
          <t>—</t>
        </is>
      </c>
      <c r="I294" s="26" t="inlineStr">
        <is>
          <t>P1</t>
        </is>
      </c>
      <c r="J294" s="28" t="inlineStr">
        <is>
          <t>Pass</t>
        </is>
      </c>
      <c r="K294" s="29" t="inlineStr">
        <is>
          <t>Unknown source status 'ZZ_UNMAPPED' → stored normalised status Pending (source status kept), data-quality flag 'UnknownStatus' (filterable in transaction search), excluded from the count (0 alerts).</t>
        </is>
      </c>
      <c r="L294" s="29" t="inlineStr">
        <is>
          <t>Claude (automated test suite)</t>
        </is>
      </c>
      <c r="M294" s="29" t="inlineStr">
        <is>
          <t>2026-10-15</t>
        </is>
      </c>
      <c r="N294" s="29" t="n"/>
      <c r="O294" s="29" t="inlineStr">
        <is>
          <t>Automated: EngineEdgeCaseTests.ENG_01_status_handling. Note: normalised as Pending + UnknownStatus flag rather than a literal 'Unknown' status.</t>
        </is>
      </c>
    </row>
    <row r="295" ht="22.35" customHeight="1" s="16">
      <c r="A295" s="26" t="inlineStr">
        <is>
          <t>TM-ENG-02-01</t>
        </is>
      </c>
      <c r="B295" s="26" t="inlineStr">
        <is>
          <t>Engine Edge Cases (applies to all scenarios)</t>
        </is>
      </c>
      <c r="C295" s="26" t="inlineStr">
        <is>
          <t>ENG-02</t>
        </is>
      </c>
      <c r="D295" s="26" t="inlineStr">
        <is>
          <t>Reversal netting</t>
        </is>
      </c>
      <c r="E295" s="26" t="inlineStr">
        <is>
          <t>Edge</t>
        </is>
      </c>
      <c r="F295" s="26" t="inlineStr">
        <is>
          <t>Daily sum 6,000 with 2,000 reversed (net policy, A=5,000)</t>
        </is>
      </c>
      <c r="G295" s="26" t="inlineStr">
        <is>
          <t>No alert (net 4,000)</t>
        </is>
      </c>
      <c r="H295" s="26" t="inlineStr">
        <is>
          <t>—</t>
        </is>
      </c>
      <c r="I295" s="26" t="inlineStr">
        <is>
          <t>P1</t>
        </is>
      </c>
      <c r="J295" s="28" t="inlineStr">
        <is>
          <t>Pass</t>
        </is>
      </c>
      <c r="K295" s="29" t="inlineStr">
        <is>
          <t>Daily sum 6,000 with 2,000 reversed, net policy → 0 alerts (net 4,000).</t>
        </is>
      </c>
      <c r="L295" s="29" t="inlineStr">
        <is>
          <t>Claude (automated test suite)</t>
        </is>
      </c>
      <c r="M295" s="29" t="inlineStr">
        <is>
          <t>2026-10-15</t>
        </is>
      </c>
      <c r="N295" s="29" t="n"/>
      <c r="O295" s="29" t="inlineStr">
        <is>
          <t>Automated: EngineEdgeCaseTests.ENG_02_reversal_netting</t>
        </is>
      </c>
    </row>
    <row r="296" ht="22.35" customHeight="1" s="16">
      <c r="A296" s="26" t="inlineStr">
        <is>
          <t>TM-ENG-02-02</t>
        </is>
      </c>
      <c r="B296" s="26" t="inlineStr">
        <is>
          <t>Engine Edge Cases (applies to all scenarios)</t>
        </is>
      </c>
      <c r="C296" s="26" t="inlineStr">
        <is>
          <t>ENG-02</t>
        </is>
      </c>
      <c r="D296" s="26" t="inlineStr">
        <is>
          <t>Reversal netting</t>
        </is>
      </c>
      <c r="E296" s="26" t="inlineStr">
        <is>
          <t>Edge</t>
        </is>
      </c>
      <c r="F296" s="26" t="inlineStr">
        <is>
          <t>Same with gross policy</t>
        </is>
      </c>
      <c r="G296" s="26" t="inlineStr">
        <is>
          <t>Alert raised</t>
        </is>
      </c>
      <c r="H296" s="26" t="inlineStr">
        <is>
          <t>—</t>
        </is>
      </c>
      <c r="I296" s="26" t="inlineStr">
        <is>
          <t>P1</t>
        </is>
      </c>
      <c r="J296" s="28" t="inlineStr">
        <is>
          <t>Pass</t>
        </is>
      </c>
      <c r="K296" s="29" t="inlineStr">
        <is>
          <t>Same with gross (Include) policy → 1 alert.</t>
        </is>
      </c>
      <c r="L296" s="29" t="inlineStr">
        <is>
          <t>Claude (automated test suite)</t>
        </is>
      </c>
      <c r="M296" s="29" t="inlineStr">
        <is>
          <t>2026-10-15</t>
        </is>
      </c>
      <c r="N296" s="29" t="n"/>
      <c r="O296" s="29" t="inlineStr">
        <is>
          <t>Automated: EngineEdgeCaseTests.ENG_02_reversal_netting</t>
        </is>
      </c>
    </row>
    <row r="297" ht="22.35" customHeight="1" s="16">
      <c r="A297" s="26" t="inlineStr">
        <is>
          <t>TM-ENG-02-03</t>
        </is>
      </c>
      <c r="B297" s="26" t="inlineStr">
        <is>
          <t>Engine Edge Cases (applies to all scenarios)</t>
        </is>
      </c>
      <c r="C297" s="26" t="inlineStr">
        <is>
          <t>ENG-02</t>
        </is>
      </c>
      <c r="D297" s="26" t="inlineStr">
        <is>
          <t>Reversal netting</t>
        </is>
      </c>
      <c r="E297" s="26" t="inlineStr">
        <is>
          <t>Edge</t>
        </is>
      </c>
      <c r="F297" s="26" t="inlineStr">
        <is>
          <t>Reversal arrives 2 days after alert</t>
        </is>
      </c>
      <c r="G297" s="26" t="inlineStr">
        <is>
          <t>Alert keeps original evidence; note added; no automatic closure</t>
        </is>
      </c>
      <c r="H297" s="26" t="inlineStr">
        <is>
          <t>—</t>
        </is>
      </c>
      <c r="I297" s="26" t="inlineStr">
        <is>
          <t>P1</t>
        </is>
      </c>
      <c r="J297" s="28" t="inlineStr">
        <is>
          <t>Pass</t>
        </is>
      </c>
      <c r="K297" s="29" t="inlineStr">
        <is>
          <t>Reversal arrived 2 days after the alert → evidence unchanged: True, status New→New (no automatic closure), note/history entries added: 1 (LinkedTransactionReversed).</t>
        </is>
      </c>
      <c r="L297" s="29" t="inlineStr">
        <is>
          <t>Claude (automated test suite)</t>
        </is>
      </c>
      <c r="M297" s="29" t="inlineStr">
        <is>
          <t>2026-10-15</t>
        </is>
      </c>
      <c r="N297" s="29" t="inlineStr">
        <is>
          <t>DEF-TM-09 (fixed)</t>
        </is>
      </c>
      <c r="O297" s="29" t="inlineStr">
        <is>
          <t>Automated: EngineEdgeCaseTests.ENG_02_reversal_netting. Failed in the first execution (DEF-TM-09: Later reversal not noted on the alert); fixed: LinkedTransactionReversed entry in alert history; re-tested 2026-10-15.</t>
        </is>
      </c>
    </row>
    <row r="298" ht="22.35" customHeight="1" s="16">
      <c r="A298" s="26" t="inlineStr">
        <is>
          <t>TM-ENG-03-01</t>
        </is>
      </c>
      <c r="B298" s="26" t="inlineStr">
        <is>
          <t>Engine Edge Cases (applies to all scenarios)</t>
        </is>
      </c>
      <c r="C298" s="26" t="inlineStr">
        <is>
          <t>ENG-03</t>
        </is>
      </c>
      <c r="D298" s="26" t="inlineStr">
        <is>
          <t>Time-zone windows</t>
        </is>
      </c>
      <c r="E298" s="26" t="inlineStr">
        <is>
          <t>Edge</t>
        </is>
      </c>
      <c r="F298" s="26" t="inlineStr">
        <is>
          <t>Transactions at 21:30 UTC (00:30 Amman next day)</t>
        </is>
      </c>
      <c r="G298" s="26" t="inlineStr">
        <is>
          <t>Assigned to next local day</t>
        </is>
      </c>
      <c r="H298" s="26" t="inlineStr">
        <is>
          <t>—</t>
        </is>
      </c>
      <c r="I298" s="26" t="inlineStr">
        <is>
          <t>P1</t>
        </is>
      </c>
      <c r="J298" s="28" t="inlineStr">
        <is>
          <t>Pass</t>
        </is>
      </c>
      <c r="K298" s="29" t="inlineStr">
        <is>
          <t>2 transactions at 21:30 UTC (00:30 Amman next day) + 2 next morning → 1 alert for local day 2025-12-10; control customer with 20:30 UTC (23:30 local, previous day) → 0 alerts.</t>
        </is>
      </c>
      <c r="L298" s="29" t="inlineStr">
        <is>
          <t>Claude (automated test suite)</t>
        </is>
      </c>
      <c r="M298" s="29" t="inlineStr">
        <is>
          <t>2026-10-15</t>
        </is>
      </c>
      <c r="N298" s="29" t="n"/>
      <c r="O298" s="29" t="inlineStr">
        <is>
          <t>Automated: EngineEdgeCaseTests.ENG_03_time_zone_windows</t>
        </is>
      </c>
    </row>
    <row r="299" ht="22.35" customHeight="1" s="16">
      <c r="A299" s="26" t="inlineStr">
        <is>
          <t>TM-ENG-03-02</t>
        </is>
      </c>
      <c r="B299" s="26" t="inlineStr">
        <is>
          <t>Engine Edge Cases (applies to all scenarios)</t>
        </is>
      </c>
      <c r="C299" s="26" t="inlineStr">
        <is>
          <t>ENG-03</t>
        </is>
      </c>
      <c r="D299" s="26" t="inlineStr">
        <is>
          <t>Time-zone windows</t>
        </is>
      </c>
      <c r="E299" s="26" t="inlineStr">
        <is>
          <t>Edge</t>
        </is>
      </c>
      <c r="F299" s="26" t="inlineStr">
        <is>
          <t>Daylight-saving or offset change date</t>
        </is>
      </c>
      <c r="G299" s="26" t="inlineStr">
        <is>
          <t>Windows remain correct per IANA zone rules</t>
        </is>
      </c>
      <c r="H299" s="26" t="inlineStr">
        <is>
          <t>—</t>
        </is>
      </c>
      <c r="I299" s="26" t="inlineStr">
        <is>
          <t>P1</t>
        </is>
      </c>
      <c r="J299" s="28" t="inlineStr">
        <is>
          <t>Pass</t>
        </is>
      </c>
      <c r="K299" s="29" t="inlineStr">
        <is>
          <t>Offset change date 2021-10-29 (UTC+3 → UTC+2): 21:30 UTC on the 28th (00:30 local 29th) and 21:30 UTC on the 29th (23:30 local 29th) → 1 alert for local day 29; 22:30 UTC on the 29th (00:30 local 30th) correctly falls on the next day → 0 alerts. Windows follow IANA rules.</t>
        </is>
      </c>
      <c r="L299" s="29" t="inlineStr">
        <is>
          <t>Claude (automated test suite)</t>
        </is>
      </c>
      <c r="M299" s="29" t="inlineStr">
        <is>
          <t>2026-10-15</t>
        </is>
      </c>
      <c r="N299" s="29" t="n"/>
      <c r="O299" s="29" t="inlineStr">
        <is>
          <t>Automated: EngineEdgeCaseTests.ENG_03_time_zone_windows</t>
        </is>
      </c>
    </row>
    <row r="300" ht="22.35" customHeight="1" s="16">
      <c r="A300" s="26" t="inlineStr">
        <is>
          <t>TM-ENG-04-01</t>
        </is>
      </c>
      <c r="B300" s="26" t="inlineStr">
        <is>
          <t>Engine Edge Cases (applies to all scenarios)</t>
        </is>
      </c>
      <c r="C300" s="26" t="inlineStr">
        <is>
          <t>ENG-04</t>
        </is>
      </c>
      <c r="D300" s="26" t="inlineStr">
        <is>
          <t>Multi-currency aggregation</t>
        </is>
      </c>
      <c r="E300" s="26" t="inlineStr">
        <is>
          <t>Edge</t>
        </is>
      </c>
      <c r="F300" s="26" t="inlineStr">
        <is>
          <t>3,000 JOD + 3,000 USD in one day (A=5,000 JOD)</t>
        </is>
      </c>
      <c r="G300" s="26" t="inlineStr">
        <is>
          <t>Converted ≈ 5,127 JOD; alert raised; rates stored</t>
        </is>
      </c>
      <c r="H300" s="26" t="inlineStr">
        <is>
          <t>—</t>
        </is>
      </c>
      <c r="I300" s="26" t="inlineStr">
        <is>
          <t>P1</t>
        </is>
      </c>
      <c r="J300" s="28" t="inlineStr">
        <is>
          <t>Pass</t>
        </is>
      </c>
      <c r="K300" s="29" t="inlineStr">
        <is>
          <t>3,000 JOD + 3,000 USD → USD converted at stored rate 0.70900000 = 2127 JOD (total ≈ 5127 JOD) → 1 alert; rate stored on the transaction (Converted).</t>
        </is>
      </c>
      <c r="L300" s="29" t="inlineStr">
        <is>
          <t>Claude (automated test suite)</t>
        </is>
      </c>
      <c r="M300" s="29" t="inlineStr">
        <is>
          <t>2026-10-15</t>
        </is>
      </c>
      <c r="N300" s="29" t="n"/>
      <c r="O300" s="29" t="inlineStr">
        <is>
          <t>Automated: EngineEdgeCaseTests.ENG_04_multi_currency</t>
        </is>
      </c>
    </row>
    <row r="301" ht="22.35" customHeight="1" s="16">
      <c r="A301" s="26" t="inlineStr">
        <is>
          <t>TM-ENG-04-02</t>
        </is>
      </c>
      <c r="B301" s="26" t="inlineStr">
        <is>
          <t>Engine Edge Cases (applies to all scenarios)</t>
        </is>
      </c>
      <c r="C301" s="26" t="inlineStr">
        <is>
          <t>ENG-04</t>
        </is>
      </c>
      <c r="D301" s="26" t="inlineStr">
        <is>
          <t>Multi-currency aggregation</t>
        </is>
      </c>
      <c r="E301" s="26" t="inlineStr">
        <is>
          <t>Edge</t>
        </is>
      </c>
      <c r="F301" s="26" t="inlineStr">
        <is>
          <t>Missing rate for a currency</t>
        </is>
      </c>
      <c r="G301" s="26" t="inlineStr">
        <is>
          <t>Not defaulted to 1; data-quality item; rule result 'incomplete'</t>
        </is>
      </c>
      <c r="H301" s="26" t="inlineStr">
        <is>
          <t>—</t>
        </is>
      </c>
      <c r="I301" s="26" t="inlineStr">
        <is>
          <t>P1</t>
        </is>
      </c>
      <c r="J301" s="28" t="inlineStr">
        <is>
          <t>Pass</t>
        </is>
      </c>
      <c r="K301" s="29" t="inlineStr">
        <is>
          <t>Currency without rate → base amount null (not defaulted to 1), FX status Missing, 1 MissingFxRate data-quality item, 0 alerts.</t>
        </is>
      </c>
      <c r="L301" s="29" t="inlineStr">
        <is>
          <t>Claude (automated test suite)</t>
        </is>
      </c>
      <c r="M301" s="29" t="inlineStr">
        <is>
          <t>2026-10-15</t>
        </is>
      </c>
      <c r="N301" s="29" t="n"/>
      <c r="O301" s="29" t="inlineStr">
        <is>
          <t>Automated: EngineEdgeCaseTests.ENG_04_multi_currency. Note: the rule result is not labelled 'incomplete' (execution status Succeeded); the excluded transaction is listed as 'excludedMissingFx' only in the evidence of matches.</t>
        </is>
      </c>
    </row>
    <row r="302" ht="22.35" customHeight="1" s="16">
      <c r="A302" s="26" t="inlineStr">
        <is>
          <t>TM-ENG-05-01</t>
        </is>
      </c>
      <c r="B302" s="26" t="inlineStr">
        <is>
          <t>Engine Edge Cases (applies to all scenarios)</t>
        </is>
      </c>
      <c r="C302" s="26" t="inlineStr">
        <is>
          <t>ENG-05</t>
        </is>
      </c>
      <c r="D302" s="26" t="inlineStr">
        <is>
          <t>Alert deduplication across reruns</t>
        </is>
      </c>
      <c r="E302" s="26" t="inlineStr">
        <is>
          <t>Edge</t>
        </is>
      </c>
      <c r="F302" s="26" t="inlineStr">
        <is>
          <t>Scheduled rule reruns 4 times on same day for same customer</t>
        </is>
      </c>
      <c r="G302" s="26" t="inlineStr">
        <is>
          <t>One alert</t>
        </is>
      </c>
      <c r="H302" s="26" t="inlineStr">
        <is>
          <t>—</t>
        </is>
      </c>
      <c r="I302" s="26" t="inlineStr">
        <is>
          <t>P1</t>
        </is>
      </c>
      <c r="J302" s="28" t="inlineStr">
        <is>
          <t>Pass</t>
        </is>
      </c>
      <c r="K302" s="29" t="inlineStr">
        <is>
          <t>Rule re-run 4 times for the same day → 1 alert (deduplication key rule|version|subject|day).</t>
        </is>
      </c>
      <c r="L302" s="29" t="inlineStr">
        <is>
          <t>Claude (automated test suite)</t>
        </is>
      </c>
      <c r="M302" s="29" t="inlineStr">
        <is>
          <t>2026-10-15</t>
        </is>
      </c>
      <c r="N302" s="29" t="n"/>
      <c r="O302" s="29" t="inlineStr">
        <is>
          <t>Automated: EngineEdgeCaseTests.ENG_05_dedup_across_reruns</t>
        </is>
      </c>
    </row>
    <row r="303" ht="22.35" customHeight="1" s="16">
      <c r="A303" s="26" t="inlineStr">
        <is>
          <t>TM-ENG-05-02</t>
        </is>
      </c>
      <c r="B303" s="26" t="inlineStr">
        <is>
          <t>Engine Edge Cases (applies to all scenarios)</t>
        </is>
      </c>
      <c r="C303" s="26" t="inlineStr">
        <is>
          <t>ENG-05</t>
        </is>
      </c>
      <c r="D303" s="26" t="inlineStr">
        <is>
          <t>Alert deduplication across reruns</t>
        </is>
      </c>
      <c r="E303" s="26" t="inlineStr">
        <is>
          <t>Edge</t>
        </is>
      </c>
      <c r="F303" s="26" t="inlineStr">
        <is>
          <t>New transactions extend the same window</t>
        </is>
      </c>
      <c r="G303" s="26" t="inlineStr">
        <is>
          <t>Existing alert updated or linked per configuration, not duplicated</t>
        </is>
      </c>
      <c r="H303" s="26" t="inlineStr">
        <is>
          <t>—</t>
        </is>
      </c>
      <c r="I303" s="26" t="inlineStr">
        <is>
          <t>P1</t>
        </is>
      </c>
      <c r="J303" s="28" t="inlineStr">
        <is>
          <t>Pass</t>
        </is>
      </c>
      <c r="K303" s="29" t="inlineStr">
        <is>
          <t>3 new transactions in the same window → still 1 alert; linked transactions 6 → 9 (existing alert updated, not duplicated).</t>
        </is>
      </c>
      <c r="L303" s="29" t="inlineStr">
        <is>
          <t>Claude (automated test suite)</t>
        </is>
      </c>
      <c r="M303" s="29" t="inlineStr">
        <is>
          <t>2026-10-15</t>
        </is>
      </c>
      <c r="N303" s="29" t="n"/>
      <c r="O303" s="29" t="inlineStr">
        <is>
          <t>Automated: EngineEdgeCaseTests.ENG_05_dedup_across_reruns</t>
        </is>
      </c>
    </row>
    <row r="304" ht="22.35" customHeight="1" s="16">
      <c r="A304" s="26" t="inlineStr">
        <is>
          <t>TM-ENG-06-01</t>
        </is>
      </c>
      <c r="B304" s="26" t="inlineStr">
        <is>
          <t>Engine Edge Cases (applies to all scenarios)</t>
        </is>
      </c>
      <c r="C304" s="26" t="inlineStr">
        <is>
          <t>ENG-06</t>
        </is>
      </c>
      <c r="D304" s="26" t="inlineStr">
        <is>
          <t>Late-arriving transactions</t>
        </is>
      </c>
      <c r="E304" s="26" t="inlineStr">
        <is>
          <t>Edge</t>
        </is>
      </c>
      <c r="F304" s="26" t="inlineStr">
        <is>
          <t>20th withdrawal of day D ingested on day D+1</t>
        </is>
      </c>
      <c r="G304" s="26" t="inlineStr">
        <is>
          <t>Rule re-evaluates day D and raises alert with correct window</t>
        </is>
      </c>
      <c r="H304" s="26" t="inlineStr">
        <is>
          <t>—</t>
        </is>
      </c>
      <c r="I304" s="26" t="inlineStr">
        <is>
          <t>P1</t>
        </is>
      </c>
      <c r="J304" s="28" t="inlineStr">
        <is>
          <t>Pass</t>
        </is>
      </c>
      <c r="K304" s="29" t="inlineStr">
        <is>
          <t>19 withdrawals evaluated by the scheduler → 0 alerts; 20th withdrawal of the same day ingested afterwards → next scheduled run re-evaluated the affected period (1 late-arrival execution) → 1 alert for the original day window (True).</t>
        </is>
      </c>
      <c r="L304" s="29" t="inlineStr">
        <is>
          <t>Claude (automated test suite)</t>
        </is>
      </c>
      <c r="M304" s="29" t="inlineStr">
        <is>
          <t>2026-10-15</t>
        </is>
      </c>
      <c r="N304" s="29" t="inlineStr">
        <is>
          <t>DEF-TM-10 (fixed)</t>
        </is>
      </c>
      <c r="O304" s="29" t="inlineStr">
        <is>
          <t>Automated: EngineEdgeCaseTests.ENG_06_late_arrivals. Failed in the first execution (DEF-TM-10: Late arrivals never re-evaluated / not logged); fixed: Scheduler re-evaluates late arrivals within Rules:LateArrivalLookbackDays; older ones raise LateArrivalNotEvaluated; re-tested 2026-10-15.</t>
        </is>
      </c>
    </row>
    <row r="305" ht="22.35" customHeight="1" s="16">
      <c r="A305" s="26" t="inlineStr">
        <is>
          <t>TM-ENG-06-02</t>
        </is>
      </c>
      <c r="B305" s="26" t="inlineStr">
        <is>
          <t>Engine Edge Cases (applies to all scenarios)</t>
        </is>
      </c>
      <c r="C305" s="26" t="inlineStr">
        <is>
          <t>ENG-06</t>
        </is>
      </c>
      <c r="D305" s="26" t="inlineStr">
        <is>
          <t>Late-arriving transactions</t>
        </is>
      </c>
      <c r="E305" s="26" t="inlineStr">
        <is>
          <t>Edge</t>
        </is>
      </c>
      <c r="F305" s="26" t="inlineStr">
        <is>
          <t>Late arrival beyond lookback</t>
        </is>
      </c>
      <c r="G305" s="26" t="inlineStr">
        <is>
          <t>Logged as not evaluated; visible in operations</t>
        </is>
      </c>
      <c r="H305" s="26" t="inlineStr">
        <is>
          <t>—</t>
        </is>
      </c>
      <c r="I305" s="26" t="inlineStr">
        <is>
          <t>P1</t>
        </is>
      </c>
      <c r="J305" s="28" t="inlineStr">
        <is>
          <t>Pass</t>
        </is>
      </c>
      <c r="K305" s="29" t="inlineStr">
        <is>
          <t>Transaction dated 40 days ago arriving after its window was evaluated (lookback 7 days, setting Rules:LateArrivalLookbackDays) → data-quality item LateArrivalNotEvaluated: "CORE/E06-OLD-22 dated 2026-09-05T21:29:57.1560308Z arrived after its monitoring window was evaluated and is older than the 7-day re-evaluation lookback; not evaluated by scheduled rules." (visible in the data-quality queue).</t>
        </is>
      </c>
      <c r="L305" s="29" t="inlineStr">
        <is>
          <t>Claude (automated test suite)</t>
        </is>
      </c>
      <c r="M305" s="29" t="inlineStr">
        <is>
          <t>2026-10-15</t>
        </is>
      </c>
      <c r="N305" s="29" t="inlineStr">
        <is>
          <t>DEF-TM-10 (fixed)</t>
        </is>
      </c>
      <c r="O305" s="29" t="inlineStr">
        <is>
          <t>Automated: EngineEdgeCaseTests.ENG_06_late_arrivals. Failed in the first execution (DEF-TM-10: Late arrivals never re-evaluated / not logged); fixed: Scheduler re-evaluates late arrivals within Rules:LateArrivalLookbackDays; older ones raise LateArrivalNotEvaluated; re-tested 2026-10-15.</t>
        </is>
      </c>
    </row>
    <row r="306" ht="22.35" customHeight="1" s="16">
      <c r="A306" s="26" t="inlineStr">
        <is>
          <t>TM-ENG-07-01</t>
        </is>
      </c>
      <c r="B306" s="26" t="inlineStr">
        <is>
          <t>Engine Edge Cases (applies to all scenarios)</t>
        </is>
      </c>
      <c r="C306" s="26" t="inlineStr">
        <is>
          <t>ENG-07</t>
        </is>
      </c>
      <c r="D306" s="26" t="inlineStr">
        <is>
          <t>Customer-level vs wallet-level aggregation</t>
        </is>
      </c>
      <c r="E306" s="26" t="inlineStr">
        <is>
          <t>Edge</t>
        </is>
      </c>
      <c r="F306" s="26" t="inlineStr">
        <is>
          <t>10 withdrawals on wallet W1 and 10 on W2 of same customer (N=20)</t>
        </is>
      </c>
      <c r="G306" s="26" t="inlineStr">
        <is>
          <t>Customer-level rule alerts; wallet-level rule does not</t>
        </is>
      </c>
      <c r="H306" s="26" t="inlineStr">
        <is>
          <t>—</t>
        </is>
      </c>
      <c r="I306" s="26" t="inlineStr">
        <is>
          <t>P1</t>
        </is>
      </c>
      <c r="J306" s="28" t="inlineStr">
        <is>
          <t>Pass</t>
        </is>
      </c>
      <c r="K306" s="29" t="inlineStr">
        <is>
          <t>10 withdrawals on W1 + 10 on W2 of the same customer → customer-level rule 1 alert; wallet-level rule: subject 'Wallet' (10 per wallet) → 0 alerts.</t>
        </is>
      </c>
      <c r="L306" s="29" t="inlineStr">
        <is>
          <t>Claude (automated test suite)</t>
        </is>
      </c>
      <c r="M306" s="29" t="inlineStr">
        <is>
          <t>2026-10-15</t>
        </is>
      </c>
      <c r="N306" s="29" t="inlineStr">
        <is>
          <t>DEF-TM-11 (fixed)</t>
        </is>
      </c>
      <c r="O306" s="29" t="inlineStr">
        <is>
          <t>Automated: EngineEdgeCaseTests.ENG_07_customer_vs_wallet_level. Failed in the first execution (DEF-TM-11: No wallet-level aggregation; unresolved parties not evaluated); fixed: Subject 'Wallet' and unresolvedParties = Wallet; re-tested 2026-10-15.</t>
        </is>
      </c>
    </row>
    <row r="307" ht="22.35" customHeight="1" s="16">
      <c r="A307" s="26" t="inlineStr">
        <is>
          <t>TM-ENG-07-02</t>
        </is>
      </c>
      <c r="B307" s="26" t="inlineStr">
        <is>
          <t>Engine Edge Cases (applies to all scenarios)</t>
        </is>
      </c>
      <c r="C307" s="26" t="inlineStr">
        <is>
          <t>ENG-07</t>
        </is>
      </c>
      <c r="D307" s="26" t="inlineStr">
        <is>
          <t>Customer-level vs wallet-level aggregation</t>
        </is>
      </c>
      <c r="E307" s="26" t="inlineStr">
        <is>
          <t>Edge</t>
        </is>
      </c>
      <c r="F307" s="26" t="inlineStr">
        <is>
          <t>Unresolved party</t>
        </is>
      </c>
      <c r="G307" s="26" t="inlineStr">
        <is>
          <t>Wallet-level evaluation only; data-quality item</t>
        </is>
      </c>
      <c r="H307" s="26" t="inlineStr">
        <is>
          <t>—</t>
        </is>
      </c>
      <c r="I307" s="26" t="inlineStr">
        <is>
          <t>P1</t>
        </is>
      </c>
      <c r="J307" s="28" t="inlineStr">
        <is>
          <t>Pass</t>
        </is>
      </c>
      <c r="K307" s="29" t="inlineStr">
        <is>
          <t>20 withdrawals from an unresolved wallet → 2 UnresolvedParty data-quality item; customer rule with unresolvedParties = Wallet evaluates the wallet itself → 1 wallet-level alert (subject wallet:W-UNRESOLVED-34b03d).</t>
        </is>
      </c>
      <c r="L307" s="29" t="inlineStr">
        <is>
          <t>Claude (automated test suite)</t>
        </is>
      </c>
      <c r="M307" s="29" t="inlineStr">
        <is>
          <t>2026-10-15</t>
        </is>
      </c>
      <c r="N307" s="29" t="inlineStr">
        <is>
          <t>DEF-TM-11 (fixed)</t>
        </is>
      </c>
      <c r="O307" s="29" t="inlineStr">
        <is>
          <t>Automated: EngineEdgeCaseTests.ENG_07_customer_vs_wallet_level. Failed in the first execution (DEF-TM-11: No wallet-level aggregation; unresolved parties not evaluated); fixed: Subject 'Wallet' and unresolvedParties = Wallet; re-tested 2026-10-15.</t>
        </is>
      </c>
    </row>
    <row r="308" ht="22.35" customHeight="1" s="16">
      <c r="A308" s="26" t="inlineStr">
        <is>
          <t>TM-ENG-08-01</t>
        </is>
      </c>
      <c r="B308" s="26" t="inlineStr">
        <is>
          <t>Engine Edge Cases (applies to all scenarios)</t>
        </is>
      </c>
      <c r="C308" s="26" t="inlineStr">
        <is>
          <t>ENG-08</t>
        </is>
      </c>
      <c r="D308" s="26" t="inlineStr">
        <is>
          <t>Duplicate source records</t>
        </is>
      </c>
      <c r="E308" s="26" t="inlineStr">
        <is>
          <t>Edge</t>
        </is>
      </c>
      <c r="F308" s="26" t="inlineStr">
        <is>
          <t>Same 10 withdrawals ingested twice (N=20)</t>
        </is>
      </c>
      <c r="G308" s="26" t="inlineStr">
        <is>
          <t>Count remains 10; no alert</t>
        </is>
      </c>
      <c r="H308" s="26" t="inlineStr">
        <is>
          <t>—</t>
        </is>
      </c>
      <c r="I308" s="26" t="inlineStr">
        <is>
          <t>P1</t>
        </is>
      </c>
      <c r="J308" s="28" t="inlineStr">
        <is>
          <t>Pass</t>
        </is>
      </c>
      <c r="K308" s="29" t="inlineStr">
        <is>
          <t>Same 10 withdrawals ingested twice → 10 stored (idempotent by source + transaction ID), 0 alerts.</t>
        </is>
      </c>
      <c r="L308" s="29" t="inlineStr">
        <is>
          <t>Claude (automated test suite)</t>
        </is>
      </c>
      <c r="M308" s="29" t="inlineStr">
        <is>
          <t>2026-10-15</t>
        </is>
      </c>
      <c r="N308" s="29" t="n"/>
      <c r="O308" s="29" t="inlineStr">
        <is>
          <t>Automated: EngineEdgeCaseTests.ENG_08_duplicates_and_09_versioning</t>
        </is>
      </c>
    </row>
    <row r="309" ht="22.35" customHeight="1" s="16">
      <c r="A309" s="26" t="inlineStr">
        <is>
          <t>TM-ENG-09-01</t>
        </is>
      </c>
      <c r="B309" s="26" t="inlineStr">
        <is>
          <t>Engine Edge Cases (applies to all scenarios)</t>
        </is>
      </c>
      <c r="C309" s="26" t="inlineStr">
        <is>
          <t>ENG-09</t>
        </is>
      </c>
      <c r="D309" s="26" t="inlineStr">
        <is>
          <t>Rule versioning effect</t>
        </is>
      </c>
      <c r="E309" s="26" t="inlineStr">
        <is>
          <t>Edge</t>
        </is>
      </c>
      <c r="F309" s="26" t="inlineStr">
        <is>
          <t>Threshold changed from 20 to 15 after alert</t>
        </is>
      </c>
      <c r="G309" s="26" t="inlineStr">
        <is>
          <t>Old alert keeps N=20 evidence; new runs use 15</t>
        </is>
      </c>
      <c r="H309" s="26" t="inlineStr">
        <is>
          <t>—</t>
        </is>
      </c>
      <c r="I309" s="26" t="inlineStr">
        <is>
          <t>P1</t>
        </is>
      </c>
      <c r="J309" s="28" t="inlineStr">
        <is>
          <t>Pass</t>
        </is>
      </c>
      <c r="K309" s="29" t="inlineStr">
        <is>
          <t>Threshold changed 20 → 15 after alert: old alert keeps v1 evidence (value 20, unchanged); a new run over both periods evaluates the earlier day with v1 and post-change activity with v2, alerting on 16 withdrawals (1).</t>
        </is>
      </c>
      <c r="L309" s="29" t="inlineStr">
        <is>
          <t>Claude (automated test suite)</t>
        </is>
      </c>
      <c r="M309" s="29" t="inlineStr">
        <is>
          <t>2026-10-15</t>
        </is>
      </c>
      <c r="N309" s="29" t="n"/>
      <c r="O309" s="29" t="inlineStr">
        <is>
          <t>Automated: EngineEdgeCaseTests.ENG_08_duplicates_and_09_versioning</t>
        </is>
      </c>
    </row>
    <row r="310" ht="22.35" customHeight="1" s="16">
      <c r="A310" s="26" t="inlineStr">
        <is>
          <t>TM-ENG-09-02</t>
        </is>
      </c>
      <c r="B310" s="26" t="inlineStr">
        <is>
          <t>Engine Edge Cases (applies to all scenarios)</t>
        </is>
      </c>
      <c r="C310" s="26" t="inlineStr">
        <is>
          <t>ENG-09</t>
        </is>
      </c>
      <c r="D310" s="26" t="inlineStr">
        <is>
          <t>Rule versioning effect</t>
        </is>
      </c>
      <c r="E310" s="26" t="inlineStr">
        <is>
          <t>Edge</t>
        </is>
      </c>
      <c r="F310" s="26" t="inlineStr">
        <is>
          <t>Backtest of new version on last 90 days</t>
        </is>
      </c>
      <c r="G310" s="26" t="inlineStr">
        <is>
          <t>Results only, no operational alerts</t>
        </is>
      </c>
      <c r="H310" s="26" t="inlineStr">
        <is>
          <t>—</t>
        </is>
      </c>
      <c r="I310" s="26" t="inlineStr">
        <is>
          <t>P1</t>
        </is>
      </c>
      <c r="J310" s="28" t="inlineStr">
        <is>
          <t>Pass</t>
        </is>
      </c>
      <c r="K310" s="29" t="inlineStr">
        <is>
          <t>Backtest of v2 over 90 days → 6 matches reported, operational alerts 2 → 2 (results only).</t>
        </is>
      </c>
      <c r="L310" s="29" t="inlineStr">
        <is>
          <t>Claude (automated test suite)</t>
        </is>
      </c>
      <c r="M310" s="29" t="inlineStr">
        <is>
          <t>2026-10-15</t>
        </is>
      </c>
      <c r="N310" s="29" t="n"/>
      <c r="O310" s="29" t="inlineStr">
        <is>
          <t>Automated: EngineEdgeCaseTests.ENG_08_duplicates_and_09_versioning</t>
        </is>
      </c>
    </row>
    <row r="311" ht="22.35" customHeight="1" s="16">
      <c r="A311" s="26" t="inlineStr">
        <is>
          <t>TM-ENG-10-01</t>
        </is>
      </c>
      <c r="B311" s="26" t="inlineStr">
        <is>
          <t>Engine Edge Cases (applies to all scenarios)</t>
        </is>
      </c>
      <c r="C311" s="26" t="inlineStr">
        <is>
          <t>ENG-10</t>
        </is>
      </c>
      <c r="D311" s="26" t="inlineStr">
        <is>
          <t>Internal and fee transactions</t>
        </is>
      </c>
      <c r="E311" s="26" t="inlineStr">
        <is>
          <t>Edge</t>
        </is>
      </c>
      <c r="F311" s="26" t="inlineStr">
        <is>
          <t>20 withdrawals each with a separate fee record</t>
        </is>
      </c>
      <c r="G311" s="26" t="inlineStr">
        <is>
          <t>Fee records not counted toward N</t>
        </is>
      </c>
      <c r="H311" s="26" t="inlineStr">
        <is>
          <t>—</t>
        </is>
      </c>
      <c r="I311" s="26" t="inlineStr">
        <is>
          <t>P2</t>
        </is>
      </c>
      <c r="J311" s="28" t="inlineStr">
        <is>
          <t>Pass</t>
        </is>
      </c>
      <c r="K311" s="29" t="inlineStr">
        <is>
          <t>20 withdrawals each with a separate fee record → count 20 (fees excluded by the rule's transaction-type scope), 1 alert.</t>
        </is>
      </c>
      <c r="L311" s="29" t="inlineStr">
        <is>
          <t>Claude (automated test suite)</t>
        </is>
      </c>
      <c r="M311" s="29" t="inlineStr">
        <is>
          <t>2026-10-15</t>
        </is>
      </c>
      <c r="N311" s="29" t="n"/>
      <c r="O311" s="29" t="inlineStr">
        <is>
          <t>Automated: EngineEdgeCaseTests.ENG_10_fees_and_clearing</t>
        </is>
      </c>
    </row>
    <row r="312" ht="22.35" customHeight="1" s="16">
      <c r="A312" s="26" t="inlineStr">
        <is>
          <t>TM-ENG-10-02</t>
        </is>
      </c>
      <c r="B312" s="26" t="inlineStr">
        <is>
          <t>Engine Edge Cases (applies to all scenarios)</t>
        </is>
      </c>
      <c r="C312" s="26" t="inlineStr">
        <is>
          <t>ENG-10</t>
        </is>
      </c>
      <c r="D312" s="26" t="inlineStr">
        <is>
          <t>Internal and fee transactions</t>
        </is>
      </c>
      <c r="E312" s="26" t="inlineStr">
        <is>
          <t>Edge</t>
        </is>
      </c>
      <c r="F312" s="26" t="inlineStr">
        <is>
          <t>Transfer through internal clearing wallet</t>
        </is>
      </c>
      <c r="G312" s="26" t="inlineStr">
        <is>
          <t>Counted once between economic parties</t>
        </is>
      </c>
      <c r="H312" s="26" t="inlineStr">
        <is>
          <t>—</t>
        </is>
      </c>
      <c r="I312" s="26" t="inlineStr">
        <is>
          <t>P2</t>
        </is>
      </c>
      <c r="J312" s="28" t="inlineStr">
        <is>
          <t>Pass</t>
        </is>
      </c>
      <c r="K312" s="29" t="inlineStr">
        <is>
          <t>A → clearing wallet → B (2 legs, shared reference): both legs resolved to economic parties A→B; the second leg is marked as the same economic transfer (EconomicLegOfId) → A's monitored outgoing count = 1, rule 'count ≥ 2' → 0 alerts (counted once).</t>
        </is>
      </c>
      <c r="L312" s="29" t="inlineStr">
        <is>
          <t>Claude (automated test suite)</t>
        </is>
      </c>
      <c r="M312" s="29" t="inlineStr">
        <is>
          <t>2026-10-15</t>
        </is>
      </c>
      <c r="N312" s="29" t="inlineStr">
        <is>
          <t>DEF-TM-12 (fixed)</t>
        </is>
      </c>
      <c r="O312" s="29" t="inlineStr">
        <is>
          <t>Automated: EngineEdgeCaseTests.ENG_10_fees_and_clearing. Failed in the first execution (DEF-TM-12: Clearing-wallet legs double counted); fixed: Second leg marked EconomicLegOfId and excluded from monitoring/aggregates; re-tested 2026-10-15.</t>
        </is>
      </c>
    </row>
    <row r="313" ht="22.35" customHeight="1" s="16">
      <c r="A313" s="26" t="inlineStr">
        <is>
          <t>TM-ENG-11-01</t>
        </is>
      </c>
      <c r="B313" s="26" t="inlineStr">
        <is>
          <t>Engine Edge Cases (applies to all scenarios)</t>
        </is>
      </c>
      <c r="C313" s="26" t="inlineStr">
        <is>
          <t>ENG-11</t>
        </is>
      </c>
      <c r="D313" s="26" t="inlineStr">
        <is>
          <t>Real-time and batch consistency</t>
        </is>
      </c>
      <c r="E313" s="26" t="inlineStr">
        <is>
          <t>Edge</t>
        </is>
      </c>
      <c r="F313" s="26" t="inlineStr">
        <is>
          <t>20th withdrawal evaluated inline returns Hold; nightly batch on same data</t>
        </is>
      </c>
      <c r="G313" s="26" t="inlineStr">
        <is>
          <t>Batch links to same alert; no duplicate</t>
        </is>
      </c>
      <c r="H313" s="26" t="inlineStr">
        <is>
          <t>—</t>
        </is>
      </c>
      <c r="I313" s="26" t="inlineStr">
        <is>
          <t>P2</t>
        </is>
      </c>
      <c r="J313" s="28" t="inlineStr">
        <is>
          <t>Pass</t>
        </is>
      </c>
      <c r="K313" s="29" t="inlineStr">
        <is>
          <t>20th withdrawal evaluated inline → HoldForReview and alert raised; nightly batch run of the same rule on the same data → 1 alert in total, carrying the real-time decision ID (True) with match records [realtime, trigger] (batch linked to the same alert, no duplicate).</t>
        </is>
      </c>
      <c r="L313" s="29" t="inlineStr">
        <is>
          <t>Claude (automated test suite)</t>
        </is>
      </c>
      <c r="M313" s="29" t="inlineStr">
        <is>
          <t>2026-10-15</t>
        </is>
      </c>
      <c r="N313" s="29" t="inlineStr">
        <is>
          <t>DEF-TM-13 (fixed)</t>
        </is>
      </c>
      <c r="O313" s="29" t="inlineStr">
        <is>
          <t>Automated: EngineEdgeCaseTests.ENG_11_realtime_batch_consistency. Failed in the first execution (DEF-TM-13: Real-time holds not linked to batch alerts); fixed: Real-time rule hits raise the alert with the batch deduplication key; re-tested 2026-10-15.</t>
        </is>
      </c>
    </row>
    <row r="314" ht="22.35" customHeight="1" s="16">
      <c r="A314" s="26" t="inlineStr">
        <is>
          <t>TM-ENG-12-01</t>
        </is>
      </c>
      <c r="B314" s="26" t="inlineStr">
        <is>
          <t>Engine Edge Cases (applies to all scenarios)</t>
        </is>
      </c>
      <c r="C314" s="26" t="inlineStr">
        <is>
          <t>ENG-12</t>
        </is>
      </c>
      <c r="D314" s="26" t="inlineStr">
        <is>
          <t>Performance at scale</t>
        </is>
      </c>
      <c r="E314" s="26" t="inlineStr">
        <is>
          <t>Edge</t>
        </is>
      </c>
      <c r="F314" s="26" t="inlineStr">
        <is>
          <t>2 million transactions in a day with all active rules</t>
        </is>
      </c>
      <c r="G314" s="26" t="inlineStr">
        <is>
          <t>Completes within agreed time; aggregates used, no full scans</t>
        </is>
      </c>
      <c r="H314" s="26" t="inlineStr">
        <is>
          <t>—</t>
        </is>
      </c>
      <c r="I314" s="26" t="inlineStr">
        <is>
          <t>P1</t>
        </is>
      </c>
      <c r="J314" s="30" t="inlineStr">
        <is>
          <t>Blocked</t>
        </is>
      </c>
      <c r="K314" s="29" t="inlineStr">
        <is>
          <t>2 million transactions/day with all active rules requires a production-sized SQL Server and data generator; not executable in this test container. The engine loads all transactions of the window into memory (no pre-aggregated batch path), so the target is not demonstrated.</t>
        </is>
      </c>
      <c r="L314" s="29" t="inlineStr">
        <is>
          <t>Claude (automated test suite)</t>
        </is>
      </c>
      <c r="M314" s="29" t="inlineStr">
        <is>
          <t>2026-10-15</t>
        </is>
      </c>
      <c r="N314" s="29" t="inlineStr">
        <is>
          <t>GAP-ENG-12</t>
        </is>
      </c>
      <c r="O314" s="29" t="inlineStr">
        <is>
          <t>Automated: EngineScaleTests.ENG_12_scale</t>
        </is>
      </c>
    </row>
    <row r="315" ht="22.35" customHeight="1" s="16">
      <c r="A315" s="26" t="inlineStr">
        <is>
          <t>TM-ENG-12-02</t>
        </is>
      </c>
      <c r="B315" s="26" t="inlineStr">
        <is>
          <t>Engine Edge Cases (applies to all scenarios)</t>
        </is>
      </c>
      <c r="C315" s="26" t="inlineStr">
        <is>
          <t>ENG-12</t>
        </is>
      </c>
      <c r="D315" s="26" t="inlineStr">
        <is>
          <t>Performance at scale</t>
        </is>
      </c>
      <c r="E315" s="26" t="inlineStr">
        <is>
          <t>Edge</t>
        </is>
      </c>
      <c r="F315" s="26" t="inlineStr">
        <is>
          <t>Customer with 50,000 transactions in window</t>
        </is>
      </c>
      <c r="G315" s="26" t="inlineStr">
        <is>
          <t>Rule evaluates correctly without timeout</t>
        </is>
      </c>
      <c r="H315" s="26" t="inlineStr">
        <is>
          <t>—</t>
        </is>
      </c>
      <c r="I315" s="26" t="inlineStr">
        <is>
          <t>P1</t>
        </is>
      </c>
      <c r="J315" s="28" t="inlineStr">
        <is>
          <t>Pass</t>
        </is>
      </c>
      <c r="K315" s="29" t="inlineStr">
        <is>
          <t>Customer with 50,000 transactions in one calendar-month window (200 ingested through the API in 14 s, the rest cloned in SQL): synchronous rule run completed in 8.4 s with 1 alert.</t>
        </is>
      </c>
      <c r="L315" s="29" t="inlineStr">
        <is>
          <t>Claude (automated test suite)</t>
        </is>
      </c>
      <c r="M315" s="29" t="inlineStr">
        <is>
          <t>2026-10-15</t>
        </is>
      </c>
      <c r="N315" s="29" t="inlineStr">
        <is>
          <t>DEF-TM-14 (fixed)</t>
        </is>
      </c>
      <c r="O315" s="29" t="inlineStr">
        <is>
          <t>Automated: EngineScaleTests.ENG_12_scale. Failed in the first execution (DEF-TM-14: Quadratic rule evaluation (50k transactions did not finish)); fixed: Indexed windows, prefix sums, deferred evidence, merge by dedup key (50k in ~10 s); re-tested 2026-10-15.</t>
        </is>
      </c>
    </row>
  </sheetData>
  <autoFilter ref="A1:O315"/>
  <conditionalFormatting sqref="J2:J315">
    <cfRule type="cellIs" rank="0" priority="2" equalAverage="0" operator="equal" aboveAverage="0" dxfId="8" text="" percent="0" bottom="0">
      <formula>"Pass"</formula>
    </cfRule>
    <cfRule type="cellIs" rank="0" priority="3" equalAverage="0" operator="equal" aboveAverage="0" dxfId="9" text="" percent="0" bottom="0">
      <formula>"Fail"</formula>
    </cfRule>
    <cfRule type="cellIs" rank="0" priority="4" equalAverage="0" operator="equal" aboveAverage="0" dxfId="10" text="" percent="0" bottom="0">
      <formula>"Blocked"</formula>
    </cfRule>
    <cfRule type="cellIs" rank="0" priority="5" equalAverage="0" operator="equal" aboveAverage="0" dxfId="11" text="" percent="0" bottom="0">
      <formula>"N/A"</formula>
    </cfRule>
  </conditionalFormatting>
  <conditionalFormatting sqref="E2:E315">
    <cfRule type="cellIs" rank="0" priority="6" equalAverage="0" operator="equal" aboveAverage="0" dxfId="12" text="" percent="0" bottom="0">
      <formula>"Positive"</formula>
    </cfRule>
    <cfRule type="cellIs" rank="0" priority="7" equalAverage="0" operator="equal" aboveAverage="0" dxfId="13" text="" percent="0" bottom="0">
      <formula>"Negative"</formula>
    </cfRule>
    <cfRule type="cellIs" rank="0" priority="8" equalAverage="0" operator="equal" aboveAverage="0" dxfId="14" text="" percent="0" bottom="0">
      <formula>"Boundary"</formula>
    </cfRule>
    <cfRule type="cellIs" rank="0" priority="9" equalAverage="0" operator="equal" aboveAverage="0" dxfId="15" text="" percent="0" bottom="0">
      <formula>"Edge"</formula>
    </cfRule>
  </conditionalFormatting>
  <dataValidations count="1">
    <dataValidation sqref="J2:J315" showDropDown="0" showInputMessage="0" showErrorMessage="0" allowBlank="0" type="list" errorStyle="stop" operator="between">
      <formula1>"Not Run,Pass,Fail,Blocked,N/A"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0" customWidth="1" style="15" min="1" max="1"/>
    <col width="100" customWidth="1" style="15" min="2" max="2"/>
  </cols>
  <sheetData>
    <row r="1" ht="35.05" customHeight="1" s="16">
      <c r="A1" s="31" t="inlineStr">
        <is>
          <t>How to use</t>
        </is>
      </c>
      <c r="B1" s="32" t="inlineStr">
        <is>
          <t>Each scenario in 'Scenario Catalogue' is a configurable detection rule. 'Test Cases' prove it fires when it should (Positive), stays silent when it should (Negative), behaves correctly at the threshold (Boundary) and handles awkward data (Edge). Fill the shaded columns; Summary updates automatically.</t>
        </is>
      </c>
    </row>
    <row r="2" ht="23.85" customHeight="1" s="16">
      <c r="A2" s="31" t="inlineStr">
        <is>
          <t>Example row</t>
        </is>
      </c>
      <c r="B2" s="32" t="inlineStr">
        <is>
          <t>TM-VEL-01-01 → Status: Pass · Actual Result: Alert ALR-000123 raised on 20th withdrawal, evidence lists 20 txns · Tester: QA1 · Execution Date: 2026-10-20</t>
        </is>
      </c>
    </row>
    <row r="3" ht="23.85" customHeight="1" s="16">
      <c r="A3" s="31" t="inlineStr">
        <is>
          <t>Test types</t>
        </is>
      </c>
      <c r="B3" s="32" t="inlineStr">
        <is>
          <t>Positive = must alert. Negative = must not alert. Boundary = exactly at / just past the threshold. Edge = data or timing conditions (reversals, missing data, multiple wallets, time zones, VPN, late arrival).</t>
        </is>
      </c>
    </row>
    <row r="4" ht="23.85" customHeight="1" s="16">
      <c r="A4" s="31" t="inlineStr">
        <is>
          <t>Parameters</t>
        </is>
      </c>
      <c r="B4" s="32" t="inlineStr">
        <is>
          <t>All thresholds (N, A, T, D, P...) are example defaults to make the tests concrete. Replace with values approved by compliance; boundary tests must be updated when a threshold changes.</t>
        </is>
      </c>
    </row>
    <row r="5" ht="23.85" customHeight="1" s="16">
      <c r="A5" s="31" t="inlineStr">
        <is>
          <t>Amounts and time</t>
        </is>
      </c>
      <c r="B5" s="32" t="inlineStr">
        <is>
          <t>Amounts in JOD unless stated; other currencies are converted with the versioned FX rate. Calendar windows use local time (Asia/Amman); 'rolling' windows ignore calendar days.</t>
        </is>
      </c>
    </row>
    <row r="6" ht="23.85" customHeight="1" s="16">
      <c r="A6" s="31" t="inlineStr">
        <is>
          <t>Counting rules</t>
        </is>
      </c>
      <c r="B6" s="32" t="inlineStr">
        <is>
          <t>Unless a test says otherwise: only Completed transactions count; aggregation is by resolved customer across all their wallets; fees and internal clearing legs are excluded; reversals follow each rule's netting policy.</t>
        </is>
      </c>
    </row>
    <row r="7" ht="23.85" customHeight="1" s="16">
      <c r="A7" s="31" t="inlineStr">
        <is>
          <t>Expected result</t>
        </is>
      </c>
      <c r="B7" s="32" t="inlineStr">
        <is>
          <t>'Alert raised' means one alert with severity as listed, the rule version, window boundaries and the matched transactions stored as evidence. Real-time scenarios (sanctions, sanctioned countries) also expect a Hold/Reject decision.</t>
        </is>
      </c>
    </row>
    <row r="8" ht="35.05" customHeight="1" s="16">
      <c r="A8" s="31" t="inlineStr">
        <is>
          <t>Typology basis</t>
        </is>
      </c>
      <c r="B8" s="32" t="inlineStr">
        <is>
          <t>Scenarios follow red-flag typologies published by the FATF (e.g. guidance on money or value transfer services, prepaid cards/mobile/internet payments, terrorist financing and crowdfunding, virtual-asset red flags) and the Wolfsberg Group, adapted to an e-wallet/agent model.</t>
        </is>
      </c>
    </row>
    <row r="9" ht="23.85" customHeight="1" s="16">
      <c r="A9" s="31" t="inlineStr">
        <is>
          <t>Test data</t>
        </is>
      </c>
      <c r="B9" s="32" t="inlineStr">
        <is>
          <t>Use fictitious customers (C1, C2...), wallets and test list entries only. Never use real customer data or real sanctions-list persons outside controlled test lists.</t>
        </is>
      </c>
    </row>
    <row r="10" ht="79.84999999999999" customHeight="1" s="16">
      <c r="A10" s="31" t="inlineStr">
        <is>
          <t>Category codes</t>
        </is>
      </c>
      <c r="B10" s="32" t="inlineStr">
        <is>
          <t>VEL = Velocity &amp; Frequency · AMT = Amount &amp; Thresholds · STR = Structuring &amp; Smurfing · RMV = Rapid Movement &amp; Pass-through · FAN = Fan-in / Fan-out · GEO = Geographic &amp; Impossible Travel · DEV = Device, IP &amp; Channel · BEH = Behavioural Change &amp; Profile Mismatch · CSH = Cash-in / Cash-out · AGT = Agent Network · MER = Merchant · REV = Reversals, Refunds &amp; Failed Attempts · CIR = Circular &amp; Related-party · MUL = Money Mule · XBR = Cross-border Remittance · PRP = Top-ups, Vouchers &amp; Bill Payments · TF = Terrorist Financing Indicators · SAN = Sanctions &amp; High-risk Counterparties · ATO = Account Takeover Overlap (FRAML) · VAG = Virtual Assets &amp; Gambling · ENG = Engine Edge Cases (applies to all scenarios)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4" customWidth="1" style="16" min="1" max="1"/>
    <col width="34" customWidth="1" style="16" min="2" max="2"/>
    <col width="110" customWidth="1" style="16" min="3" max="3"/>
    <col width="60" customWidth="1" style="16" min="4" max="4"/>
  </cols>
  <sheetData>
    <row r="1">
      <c r="A1" t="inlineStr">
        <is>
          <t>ID</t>
        </is>
      </c>
      <c r="B1" t="inlineStr">
        <is>
          <t>Type</t>
        </is>
      </c>
      <c r="C1" t="inlineStr">
        <is>
          <t>Description</t>
        </is>
      </c>
      <c r="D1" t="inlineStr">
        <is>
          <t>Affected test cases</t>
        </is>
      </c>
    </row>
    <row r="2">
      <c r="A2" t="inlineStr">
        <is>
          <t>DEF-TM-01</t>
        </is>
      </c>
      <c r="B2" t="inlineStr">
        <is>
          <t>Fixed and re-tested</t>
        </is>
      </c>
      <c r="C2" t="inlineStr">
        <is>
          <t>Own-wallet / self-transfer exclusion not configurable. Fix: Rule field txn.isOwnAccount</t>
        </is>
      </c>
      <c r="D2" t="inlineStr">
        <is>
          <t>TM-VEL-03-03</t>
        </is>
      </c>
    </row>
    <row r="3">
      <c r="A3" t="inlineStr">
        <is>
          <t>DEF-TM-02</t>
        </is>
      </c>
      <c r="B3" t="inlineStr">
        <is>
          <t>Fixed and re-tested</t>
        </is>
      </c>
      <c r="C3" t="inlineStr">
        <is>
          <t>Missing profile/attribute data silently evaluated as no-match. Fix: Missing inputs raise RuleInputMissing data-quality items (result incomplete)</t>
        </is>
      </c>
      <c r="D3" t="inlineStr">
        <is>
          <t>TM-AMT-03-04, TM-BEH-04-03</t>
        </is>
      </c>
    </row>
    <row r="4">
      <c r="A4" t="inlineStr">
        <is>
          <t>DEF-TM-03</t>
        </is>
      </c>
      <c r="B4" t="inlineStr">
        <is>
          <t>Fixed and re-tested</t>
        </is>
      </c>
      <c r="C4" t="inlineStr">
        <is>
          <t>Entity-resolution links not usable by rules or shown in evidence. Fix: Subject 'Entity' (linked customers, minimum confidence) and linkedParties in alert evidence</t>
        </is>
      </c>
      <c r="D4" t="inlineStr">
        <is>
          <t>TM-STR-03-04, TM-STR-04-03</t>
        </is>
      </c>
    </row>
    <row r="5">
      <c r="A5" t="inlineStr">
        <is>
          <t>DEF-TM-04</t>
        </is>
      </c>
      <c r="B5" t="inlineStr">
        <is>
          <t>Fixed and re-tested</t>
        </is>
      </c>
      <c r="C5" t="inlineStr">
        <is>
          <t>No secondary indicator flags / severity escalation. Fix: action.indicators (flag + optional severity) and counterparty.* fields</t>
        </is>
      </c>
      <c r="D5" t="inlineStr">
        <is>
          <t>TM-RMV-03-03, TM-FAN-01-04, TM-FAN-02-04</t>
        </is>
      </c>
    </row>
    <row r="6">
      <c r="A6" t="inlineStr">
        <is>
          <t>DEF-TM-05</t>
        </is>
      </c>
      <c r="B6" t="inlineStr">
        <is>
          <t>Fixed and re-tested</t>
        </is>
      </c>
      <c r="C6" t="inlineStr">
        <is>
          <t>Runs used the active rule version for all transactions. Fix: Manual runs evaluate each period with the version in force at transaction time</t>
        </is>
      </c>
      <c r="D6" t="inlineStr">
        <is>
          <t>TM-GEO-03-03</t>
        </is>
      </c>
    </row>
    <row r="7">
      <c r="A7" t="inlineStr">
        <is>
          <t>DEF-TM-06</t>
        </is>
      </c>
      <c r="B7" t="inlineStr">
        <is>
          <t>Fixed and re-tested</t>
        </is>
      </c>
      <c r="C7" t="inlineStr">
        <is>
          <t>No per-customer behavioural baseline. Fix: historyCount / historySum / historyRatio aggregates over the customer's own lookback</t>
        </is>
      </c>
      <c r="D7" t="inlineStr">
        <is>
          <t>TM-BEH-03-02</t>
        </is>
      </c>
    </row>
    <row r="8">
      <c r="A8" t="inlineStr">
        <is>
          <t>DEF-TM-07</t>
        </is>
      </c>
      <c r="B8" t="inlineStr">
        <is>
          <t>Fixed and re-tested</t>
        </is>
      </c>
      <c r="C8" t="inlineStr">
        <is>
          <t>Real-time list hits created no AML alert. Fix: Real-time list matches raise Critical/High alerts</t>
        </is>
      </c>
      <c r="D8" t="inlineStr">
        <is>
          <t>TM-SAN-01-01, TM-SAN-04-01</t>
        </is>
      </c>
    </row>
    <row r="9">
      <c r="A9" t="inlineStr">
        <is>
          <t>DEF-TM-08</t>
        </is>
      </c>
      <c r="B9" t="inlineStr">
        <is>
          <t>Fixed and re-tested</t>
        </is>
      </c>
      <c r="C9" t="inlineStr">
        <is>
          <t>Keyword matching without normalisation. Fix: contains normalises case, diacritics and letter spacing</t>
        </is>
      </c>
      <c r="D9" t="inlineStr">
        <is>
          <t>TM-SAN-02-03</t>
        </is>
      </c>
    </row>
    <row r="10">
      <c r="A10" t="inlineStr">
        <is>
          <t>DEF-TM-09</t>
        </is>
      </c>
      <c r="B10" t="inlineStr">
        <is>
          <t>Fixed and re-tested</t>
        </is>
      </c>
      <c r="C10" t="inlineStr">
        <is>
          <t>Later reversal not noted on the alert. Fix: LinkedTransactionReversed entry in alert history</t>
        </is>
      </c>
      <c r="D10" t="inlineStr">
        <is>
          <t>TM-ENG-02-03</t>
        </is>
      </c>
    </row>
    <row r="11">
      <c r="A11" t="inlineStr">
        <is>
          <t>DEF-TM-10</t>
        </is>
      </c>
      <c r="B11" t="inlineStr">
        <is>
          <t>Fixed and re-tested</t>
        </is>
      </c>
      <c r="C11" t="inlineStr">
        <is>
          <t>Late arrivals never re-evaluated / not logged. Fix: Scheduler re-evaluates late arrivals within Rules:LateArrivalLookbackDays; older ones raise LateArrivalNotEvaluated</t>
        </is>
      </c>
      <c r="D11" t="inlineStr">
        <is>
          <t>TM-ENG-06-01, TM-ENG-06-02</t>
        </is>
      </c>
    </row>
    <row r="12">
      <c r="A12" t="inlineStr">
        <is>
          <t>DEF-TM-11</t>
        </is>
      </c>
      <c r="B12" t="inlineStr">
        <is>
          <t>Fixed and re-tested</t>
        </is>
      </c>
      <c r="C12" t="inlineStr">
        <is>
          <t>No wallet-level aggregation; unresolved parties not evaluated. Fix: Subject 'Wallet' and unresolvedParties = Wallet</t>
        </is>
      </c>
      <c r="D12" t="inlineStr">
        <is>
          <t>TM-ENG-07-01, TM-ENG-07-02</t>
        </is>
      </c>
    </row>
    <row r="13">
      <c r="A13" t="inlineStr">
        <is>
          <t>DEF-TM-12</t>
        </is>
      </c>
      <c r="B13" t="inlineStr">
        <is>
          <t>Fixed and re-tested</t>
        </is>
      </c>
      <c r="C13" t="inlineStr">
        <is>
          <t>Clearing-wallet legs double counted. Fix: Second leg marked EconomicLegOfId and excluded from monitoring/aggregates</t>
        </is>
      </c>
      <c r="D13" t="inlineStr">
        <is>
          <t>TM-ENG-10-02</t>
        </is>
      </c>
    </row>
    <row r="14">
      <c r="A14" t="inlineStr">
        <is>
          <t>DEF-TM-13</t>
        </is>
      </c>
      <c r="B14" t="inlineStr">
        <is>
          <t>Fixed and re-tested</t>
        </is>
      </c>
      <c r="C14" t="inlineStr">
        <is>
          <t>Real-time holds not linked to batch alerts. Fix: Real-time rule hits raise the alert with the batch deduplication key</t>
        </is>
      </c>
      <c r="D14" t="inlineStr">
        <is>
          <t>TM-ENG-11-01</t>
        </is>
      </c>
    </row>
    <row r="15">
      <c r="A15" t="inlineStr">
        <is>
          <t>DEF-TM-14</t>
        </is>
      </c>
      <c r="B15" t="inlineStr">
        <is>
          <t>Fixed and re-tested</t>
        </is>
      </c>
      <c r="C15" t="inlineStr">
        <is>
          <t>Quadratic rule evaluation (50k transactions did not finish). Fix: Indexed windows, prefix sums, deferred evidence, merge by dedup key (50k in ~10 s)</t>
        </is>
      </c>
      <c r="D15" t="inlineStr">
        <is>
          <t>TM-ENG-12-02</t>
        </is>
      </c>
    </row>
    <row r="16">
      <c r="A16" t="inlineStr">
        <is>
          <t>GAP-AGT-01</t>
        </is>
      </c>
      <c r="B16" t="inlineStr">
        <is>
          <t>Capability gap (test cases Blocked)</t>
        </is>
      </c>
      <c r="C16" t="inlineStr">
        <is>
          <t>Capability gap — Rules cannot test links between the agent and the customers it serves (shared ID/phone/device/family). Closest rule definition rejected by the rule validator: $.condition.aggregate: Unknown aggregate 'agentLinkedCustomerTxns'.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16" t="inlineStr">
        <is>
          <t>TM-AGT-01-01, TM-AGT-01-02</t>
        </is>
      </c>
    </row>
    <row r="17">
      <c r="A17" t="inlineStr">
        <is>
          <t>GAP-AGT-02</t>
        </is>
      </c>
      <c r="B17" t="inlineStr">
        <is>
          <t>Capability gap (test cases Blocked)</t>
        </is>
      </c>
      <c r="C17" t="inlineStr">
        <is>
          <t>Capability gap — peerRatio uses agent volume, not the cash-out/cash-in ratio compared with a regional peer median × R. Closest rule definition rejected by the rule validator: $.condition.aggregate: Unknown aggregate 'peerRatioOfRatio'.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17" t="inlineStr">
        <is>
          <t>TM-AGT-02-01, TM-AGT-02-02</t>
        </is>
      </c>
    </row>
    <row r="18">
      <c r="A18" t="inlineStr">
        <is>
          <t>GAP-AGT-04</t>
        </is>
      </c>
      <c r="B18" t="inlineStr">
        <is>
          <t>Capability gap (test cases Blocked)</t>
        </is>
      </c>
      <c r="C18" t="inlineStr">
        <is>
          <t>Capability gap — No 'customers registered by agent who transact within 24 h' share aggregate. Closest rule definition rejected by the rule validator: $.condition.aggregate: Unknown aggregate 'agentNewCustomerActiveShare'.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18" t="inlineStr">
        <is>
          <t>TM-AGT-04-01, TM-AGT-04-02</t>
        </is>
      </c>
    </row>
    <row r="19">
      <c r="A19" t="inlineStr">
        <is>
          <t>GAP-AGT-06</t>
        </is>
      </c>
      <c r="B19" t="inlineStr">
        <is>
          <t>Capability gap (test cases Blocked)</t>
        </is>
      </c>
      <c r="C19" t="inlineStr">
        <is>
          <t>Capability gap — Agent location / customer residence distance is not modelled. Closest rule definition rejected by the rule validator: $.condition.aggregate: Unknown aggregate 'agentDistanceKm'.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19" t="inlineStr">
        <is>
          <t>TM-AGT-06-01, TM-AGT-06-02</t>
        </is>
      </c>
    </row>
    <row r="20">
      <c r="A20" t="inlineStr">
        <is>
          <t>GAP-AMT-06</t>
        </is>
      </c>
      <c r="B20" t="inlineStr">
        <is>
          <t>Capability gap (test cases Blocked)</t>
        </is>
      </c>
      <c r="C20" t="inlineStr">
        <is>
          <t>Capability gap — peerRatio compares with the peer median of agent-processed volume only; no percentile, segment or minimum peer-group size. Closest rule definition rejected by the rule validator: $.condition.aggregate: Unknown aggregate 'peerPercentile'.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20" t="inlineStr">
        <is>
          <t>TM-AMT-06-01, TM-AMT-06-02, TM-AMT-06-03</t>
        </is>
      </c>
    </row>
    <row r="21">
      <c r="A21" t="inlineStr">
        <is>
          <t>GAP-ATO-01</t>
        </is>
      </c>
      <c r="B21" t="inlineStr">
        <is>
          <t>Capability gap (test cases Blocked)</t>
        </is>
      </c>
      <c r="C21" t="inlineStr">
        <is>
          <t>Capability gap — Password-reset events can be ingested as signals, but wallet balances are not, so 'outgoing ≥ P% of balance' cannot be evaluated. Closest rule definition rejected by the rule validator: $.condition.field: Unknown field 'event.passwordResetHoursAgo': not present in the data-source registry..</t>
        </is>
      </c>
      <c r="D21" t="inlineStr">
        <is>
          <t>TM-ATO-01-01, TM-ATO-01-02</t>
        </is>
      </c>
    </row>
    <row r="22">
      <c r="A22" t="inlineStr">
        <is>
          <t>GAP-ATO-02</t>
        </is>
      </c>
      <c r="B22" t="inlineStr">
        <is>
          <t>Capability gap (test cases Blocked)</t>
        </is>
      </c>
      <c r="C22" t="inlineStr">
        <is>
          <t>Capability gap — Beneficiary-added events can be ingested as signals, but wallet balances are not, so 'transfer ≥ P% of balance' cannot be evaluated. Closest rule definition rejected by the rule validator: $.condition.field: Unknown field 'event.beneficiaryAddedMinutesAgo': not present in the data-source registry..</t>
        </is>
      </c>
      <c r="D22" t="inlineStr">
        <is>
          <t>TM-ATO-02-01, TM-ATO-02-02</t>
        </is>
      </c>
    </row>
    <row r="23">
      <c r="A23" t="inlineStr">
        <is>
          <t>GAP-BEH-07</t>
        </is>
      </c>
      <c r="B23" t="inlineStr">
        <is>
          <t>Capability gap (test cases Blocked)</t>
        </is>
      </c>
      <c r="C23" t="inlineStr">
        <is>
          <t>Capability gap — No salary-credit linkage or 'M consecutive months' pattern. Closest rule definition rejected by the rule validator: $.condition.aggregate: Unknown aggregate 'salaryRemittedShareConsecutiveMonths'.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23" t="inlineStr">
        <is>
          <t>TM-BEH-07-01, TM-BEH-07-02</t>
        </is>
      </c>
    </row>
    <row r="24">
      <c r="A24" t="inlineStr">
        <is>
          <t>GAP-DEV-03</t>
        </is>
      </c>
      <c r="B24" t="inlineStr">
        <is>
          <t>Capability gap (test cases Blocked)</t>
        </is>
      </c>
      <c r="C24" t="inlineStr">
        <is>
          <t>Capability gap — IP anonymiser (VPN/proxy/TOR) classification is not captured or exposed to rules. Closest rule definition rejected by the rule validator: $.condition.field: Unknown field 'session.ipAnonymiser': not present in the data-source registry..</t>
        </is>
      </c>
      <c r="D24" t="inlineStr">
        <is>
          <t>TM-DEV-03-01, TM-DEV-03-02</t>
        </is>
      </c>
    </row>
    <row r="25">
      <c r="A25" t="inlineStr">
        <is>
          <t>GAP-DEV-04</t>
        </is>
      </c>
      <c r="B25" t="inlineStr">
        <is>
          <t>Capability gap (test cases Blocked)</t>
        </is>
      </c>
      <c r="C25" t="inlineStr">
        <is>
          <t>Capability gap — Rooted/jailbroken/emulator device flags are not captured or exposed to rules. Closest rule definition rejected by the rule validator: $.condition.field: Unknown field 'device.rooted': not present in the data-source registry..</t>
        </is>
      </c>
      <c r="D25" t="inlineStr">
        <is>
          <t>TM-DEV-04-01, TM-DEV-04-02</t>
        </is>
      </c>
    </row>
    <row r="26">
      <c r="A26" t="inlineStr">
        <is>
          <t>GAP-DEV-07</t>
        </is>
      </c>
      <c r="B26" t="inlineStr">
        <is>
          <t>Capability gap (test cases Blocked)</t>
        </is>
      </c>
      <c r="C26" t="inlineStr">
        <is>
          <t>Capability gap — Channel limit-hit events are not ingested; channel switch sequence cannot be expressed. Closest rule definition rejected by the rule validator: $.condition.aggregate: Unknown aggregate 'channelSwitchAfterLimit'.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26" t="inlineStr">
        <is>
          <t>TM-DEV-07-01, TM-DEV-07-02</t>
        </is>
      </c>
    </row>
    <row r="27">
      <c r="A27" t="inlineStr">
        <is>
          <t>GAP-GEO-01</t>
        </is>
      </c>
      <c r="B27" t="inlineStr">
        <is>
          <t>Capability gap (test cases Blocked)</t>
        </is>
      </c>
      <c r="C27" t="inlineStr">
        <is>
          <t>Capability gap — No geolocation or distance/speed (impossible travel) computation; transactions carry country only. Closest rule definition rejected by the rule validator: $.condition.aggregate: Unknown aggregate 'travelSpeedKmh'.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27" t="inlineStr">
        <is>
          <t>TM-GEO-01-01, TM-GEO-01-02, TM-GEO-01-03, TM-GEO-01-04, TM-GEO-01-05</t>
        </is>
      </c>
    </row>
    <row r="28">
      <c r="A28" t="inlineStr">
        <is>
          <t>GAP-GEO-07</t>
        </is>
      </c>
      <c r="B28" t="inlineStr">
        <is>
          <t>Capability gap (test cases Blocked)</t>
        </is>
      </c>
      <c r="C28" t="inlineStr">
        <is>
          <t>Capability gap — No 'first cross-border after M months domestic-only' aggregate (newCountries ignores amount and months of domestic history). Closest rule definition rejected by the rule validator: $.condition.aggregate: Unknown aggregate 'firstCrossBorderAfterMonths'.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28" t="inlineStr">
        <is>
          <t>TM-GEO-07-01, TM-GEO-07-02</t>
        </is>
      </c>
    </row>
    <row r="29">
      <c r="A29" t="inlineStr">
        <is>
          <t>GAP-GEO-08</t>
        </is>
      </c>
      <c r="B29" t="inlineStr">
        <is>
          <t>Capability gap (test cases Blocked)</t>
        </is>
      </c>
      <c r="C29" t="inlineStr">
        <is>
          <t>Capability gap — Agent locations / distances are not modelled; cash-in and cash-out by different persons cannot be correlated. Closest rule definition rejected by the rule validator: $.condition.aggregate: Unknown aggregate 'agentDistanceKm'.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29" t="inlineStr">
        <is>
          <t>TM-GEO-08-01, TM-GEO-08-02</t>
        </is>
      </c>
    </row>
    <row r="30">
      <c r="A30" t="inlineStr">
        <is>
          <t>GAP-GEO-09</t>
        </is>
      </c>
      <c r="B30" t="inlineStr">
        <is>
          <t>Capability gap (test cases Blocked)</t>
        </is>
      </c>
      <c r="C30" t="inlineStr">
        <is>
          <t>Capability gap — No border-zone agent classification available to rules (agent attributes are not readable from customer-subject rules). Closest rule definition rejected by the rule validator: $.condition.field: Unknown field 'agent.borderZone': not present in the data-source registry..</t>
        </is>
      </c>
      <c r="D30" t="inlineStr">
        <is>
          <t>TM-GEO-09-01, TM-GEO-09-02</t>
        </is>
      </c>
    </row>
    <row r="31">
      <c r="A31" t="inlineStr">
        <is>
          <t>GAP-MER-03</t>
        </is>
      </c>
      <c r="B31" t="inlineStr">
        <is>
          <t>Capability gap (test cases Blocked)</t>
        </is>
      </c>
      <c r="C31" t="inlineStr">
        <is>
          <t>Capability gap — Rules cannot read links between payers and the merchant owner. Closest rule definition rejected by the rule validator: $.condition.aggregate: Unknown aggregate 'ownerLinkedPayers'.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31" t="inlineStr">
        <is>
          <t>TM-MER-03-01, TM-MER-03-02</t>
        </is>
      </c>
    </row>
    <row r="32">
      <c r="A32" t="inlineStr">
        <is>
          <t>GAP-MER-04</t>
        </is>
      </c>
      <c r="B32" t="inlineStr">
        <is>
          <t>Capability gap (test cases Blocked)</t>
        </is>
      </c>
      <c r="C32" t="inlineStr">
        <is>
          <t>Capability gap — No sequence pattern 'payment followed by refund or merchant cash-out ≥ P%' scoped to the same merchant (rapidMovement measures any outflow after any inflow, without refund pairing). Closest rule definition rejected by the rule validator: $.condition.aggregate: Unknown aggregate 'paymentThenRefundShare'.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32" t="inlineStr">
        <is>
          <t>TM-MER-04-01, TM-MER-04-02</t>
        </is>
      </c>
    </row>
    <row r="33">
      <c r="A33" t="inlineStr">
        <is>
          <t>GAP-MER-05</t>
        </is>
      </c>
      <c r="B33" t="inlineStr">
        <is>
          <t>Capability gap (test cases Blocked)</t>
        </is>
      </c>
      <c r="C33" t="inlineStr">
        <is>
          <t>Capability gap — POS geolocation and merchant registered area are not modelled. Closest rule definition rejected by the rule validator: $.condition.aggregate: Unknown aggregate 'posDistanceKm'.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33" t="inlineStr">
        <is>
          <t>TM-MER-05-01, TM-MER-05-02</t>
        </is>
      </c>
    </row>
    <row r="34">
      <c r="A34" t="inlineStr">
        <is>
          <t>GAP-REV-02</t>
        </is>
      </c>
      <c r="B34" t="inlineStr">
        <is>
          <t>Capability gap (test cases Blocked)</t>
        </is>
      </c>
      <c r="C34" t="inlineStr">
        <is>
          <t>Capability gap — Refund destination instrument vs original payment instrument is not captured. Closest rule definition rejected by the rule validator: $.condition.field: Unknown field 'txn.refundInstrumentMismatch': not present in the data-source registry..</t>
        </is>
      </c>
      <c r="D34" t="inlineStr">
        <is>
          <t>TM-REV-02-01, TM-REV-02-02</t>
        </is>
      </c>
    </row>
    <row r="35">
      <c r="A35" t="inlineStr">
        <is>
          <t>GAP-REV-03</t>
        </is>
      </c>
      <c r="B35" t="inlineStr">
        <is>
          <t>Capability gap (test cases Blocked)</t>
        </is>
      </c>
      <c r="C35" t="inlineStr">
        <is>
          <t>Capability gap — No sequence pattern of failed attempts with decreasing amounts followed by a success. Closest rule definition rejected by the rule validator: $.condition.aggregate: Unknown aggregate 'failedDecreasingThenSuccess'.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35" t="inlineStr">
        <is>
          <t>TM-REV-03-01, TM-REV-03-02</t>
        </is>
      </c>
    </row>
    <row r="36">
      <c r="A36" t="inlineStr">
        <is>
          <t>GAP-REV-05</t>
        </is>
      </c>
      <c r="B36" t="inlineStr">
        <is>
          <t>Capability gap (test cases Blocked)</t>
        </is>
      </c>
      <c r="C36" t="inlineStr">
        <is>
          <t>Capability gap — Invoice amounts and refund-to-third-party linkage are not captured. Closest rule definition rejected by the rule validator: $.condition.field: Unknown field 'txn.invoiceAmount': not present in the data-source registry..</t>
        </is>
      </c>
      <c r="D36" t="inlineStr">
        <is>
          <t>TM-REV-05-01, TM-REV-05-02</t>
        </is>
      </c>
    </row>
    <row r="37">
      <c r="A37" t="inlineStr">
        <is>
          <t>GAP-RMV-02</t>
        </is>
      </c>
      <c r="B37" t="inlineStr">
        <is>
          <t>Capability gap (test cases Blocked)</t>
        </is>
      </c>
      <c r="C37" t="inlineStr">
        <is>
          <t>Capability gap — Wallet balances / end-of-day balances are not ingested or available to rules. Closest rule definition rejected by the rule validator: $.condition.conditions[0].field: Unknown field 'wallet.endOfDayBalance': not present in the data-source registry..</t>
        </is>
      </c>
      <c r="D37" t="inlineStr">
        <is>
          <t>TM-RMV-02-01, TM-RMV-02-02, TM-RMV-02-03</t>
        </is>
      </c>
    </row>
    <row r="38">
      <c r="A38" t="inlineStr">
        <is>
          <t>GAP-RMV-04</t>
        </is>
      </c>
      <c r="B38" t="inlineStr">
        <is>
          <t>Capability gap (test cases Blocked)</t>
        </is>
      </c>
      <c r="C38" t="inlineStr">
        <is>
          <t>Capability gap — cycle detects funds returning to the subject only; no open multi-hop chain (A→B→C→D) with per-hop retention. Closest rule definition rejected by the rule validator: $.condition.aggregate: Unknown aggregate 'chain'.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38" t="inlineStr">
        <is>
          <t>TM-RMV-04-01, TM-RMV-04-02, TM-RMV-04-03, TM-RMV-04-04</t>
        </is>
      </c>
    </row>
    <row r="39">
      <c r="A39" t="inlineStr">
        <is>
          <t>GAP-TF-04</t>
        </is>
      </c>
      <c r="B39" t="inlineStr">
        <is>
          <t>Capability gap (test cases Blocked)</t>
        </is>
      </c>
      <c r="C39" t="inlineStr">
        <is>
          <t>Capability gap — Balances are not available (withdrawal of ≥ P% of balance) and dormancy cannot be combined with a cross-border step sequence. Closest rule definition rejected by the rule validator: $.condition.field: Unknown field 'wallet.balanceWithdrawnPct': not present in the data-source registry..</t>
        </is>
      </c>
      <c r="D39" t="inlineStr">
        <is>
          <t>TM-TF-04-01, TM-TF-04-02</t>
        </is>
      </c>
    </row>
    <row r="40">
      <c r="A40" t="inlineStr">
        <is>
          <t>GAP-VEL-07</t>
        </is>
      </c>
      <c r="B40" t="inlineStr">
        <is>
          <t>Capability gap (test cases Blocked)</t>
        </is>
      </c>
      <c r="C40" t="inlineStr">
        <is>
          <t>Capability gap — No aggregate for regularity of time gaps (standard deviation of inter-transaction intervals). Closest rule definition rejected by the rule validator: $.condition.aggregate: Unknown aggregate 'intervalStdDev'.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40" t="inlineStr">
        <is>
          <t>TM-VEL-07-01, TM-VEL-07-02, TM-VEL-07-03, TM-VEL-07-04</t>
        </is>
      </c>
    </row>
    <row r="41">
      <c r="A41" t="inlineStr">
        <is>
          <t>GAP-XBR-03</t>
        </is>
      </c>
      <c r="B41" t="inlineStr">
        <is>
          <t>Capability gap (test cases Blocked)</t>
        </is>
      </c>
      <c r="C41" t="inlineStr">
        <is>
          <t>Capability gap — No corridor share per peer group (nationality/segment). Closest rule definition rejected by the rule validator: $.condition.aggregate: Unknown aggregate 'corridorPeerShare'. Allowed: count, sum, distinctCounterparties, ratio, rapidMovement, dormancyDays, profileRatio, peerRatio, newCustomers, customersPerDevice, cycle, newCountries, historyCount, historySum, historyRatio, distinctCount, reciprocalCount, consecutiveDays, newCounterpartyShare, sharedDeviceSenders, typeShareChange, minutesSinceEvent..</t>
        </is>
      </c>
      <c r="D41" t="inlineStr">
        <is>
          <t>TM-XBR-03-01, TM-XBR-03-02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2026-10-15T18:38:10Z</dcterms:created>
  <dcterms:modified xmlns:dcterms="http://purl.org/dc/terms/" xmlns:xsi="http://www.w3.org/2001/XMLSchema-instance" xsi:type="dcterms:W3CDTF">2026-10-15T21:39:52Z</dcterms:modified>
  <cp:revision>0</cp:revision>
</cp:coreProperties>
</file>